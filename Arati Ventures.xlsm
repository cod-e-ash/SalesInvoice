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B Utilities\Excel Invoice\Arati\"/>
    </mc:Choice>
  </mc:AlternateContent>
  <xr:revisionPtr revIDLastSave="0" documentId="13_ncr:1_{CB8E4E42-6DB7-40FB-9414-6C8A9FE2F888}" xr6:coauthVersionLast="37" xr6:coauthVersionMax="37" xr10:uidLastSave="{00000000-0000-0000-0000-000000000000}"/>
  <workbookProtection workbookAlgorithmName="SHA-512" workbookHashValue="BM2guM2x7mdbTCoo5x+2GG2RQDt9AhEb9jSlYudtJvph8Ezjk7my4b+Vhqqk9NMqfk7XmCu99IQFCDWsqslGWQ==" workbookSaltValue="gLVqUHduPJtpvNTejPxVWA==" workbookSpinCount="100000" lockStructure="1"/>
  <bookViews>
    <workbookView xWindow="0" yWindow="0" windowWidth="15348" windowHeight="3972" xr2:uid="{00000000-000D-0000-FFFF-FFFF00000000}"/>
  </bookViews>
  <sheets>
    <sheet name="Invoice" sheetId="1" r:id="rId1"/>
    <sheet name="Update" sheetId="14" r:id="rId2"/>
    <sheet name="PreviousInvoices" sheetId="11" r:id="rId3"/>
    <sheet name="Items" sheetId="10" r:id="rId4"/>
    <sheet name="Tax Rates" sheetId="9" r:id="rId5"/>
    <sheet name="Customers" sheetId="8" r:id="rId6"/>
    <sheet name="P" sheetId="12" r:id="rId7"/>
    <sheet name="Reports" sheetId="15" r:id="rId8"/>
    <sheet name="LOCKED" sheetId="13" state="hidden" r:id="rId9"/>
  </sheets>
  <functionGroups builtInGroupCount="19"/>
  <definedNames>
    <definedName name="_xlnm._FilterDatabase" localSheetId="3" hidden="1">Items!$A$1:$H$35</definedName>
    <definedName name="_xlnm._FilterDatabase" localSheetId="2" hidden="1">PreviousInvoices!$A$1:$J$1</definedName>
    <definedName name="Customer" localSheetId="8">Table1[Customer Name]</definedName>
    <definedName name="Customer" localSheetId="1">Table1[Customer Name]</definedName>
    <definedName name="Customer">Table1[Customer Name]</definedName>
    <definedName name="ExternalData_1" localSheetId="2" hidden="1">PreviousInvoices!#REF!</definedName>
    <definedName name="ItemList" localSheetId="8">Table2[Helper]</definedName>
    <definedName name="ItemList" localSheetId="1">Table2[Helper]</definedName>
    <definedName name="ItemList">Table2[Helper]</definedName>
    <definedName name="ItemList1">Items!$J$2:INDEX(Items!$J$2:$J$1000,SUMPRODUCT(--(Items!$J$2:$J$1000&lt;&gt;"")))</definedName>
    <definedName name="_xlnm.Print_Area" localSheetId="8">LOCKED!$A$1:$J$57</definedName>
    <definedName name="_xlnm.Print_Area" localSheetId="6">P!$A$1:$K$56</definedName>
    <definedName name="TaxRates" localSheetId="8">Table3[Tax Name]</definedName>
    <definedName name="TaxRates" localSheetId="1">Table3[Tax Name]</definedName>
    <definedName name="TaxRates">Table3[Tax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5" l="1"/>
  <c r="E9" i="15"/>
  <c r="D9" i="15"/>
  <c r="C9" i="15"/>
  <c r="B9" i="15"/>
  <c r="J62" i="1"/>
  <c r="J63" i="1"/>
  <c r="J64" i="1"/>
  <c r="J65" i="1"/>
  <c r="J66" i="1"/>
  <c r="J67" i="1"/>
  <c r="J68" i="1"/>
  <c r="J69" i="1"/>
  <c r="J61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H7" i="1"/>
  <c r="L62" i="1" s="1"/>
  <c r="F7" i="1"/>
  <c r="D7" i="1"/>
  <c r="K7" i="1" s="1"/>
  <c r="C7" i="1"/>
  <c r="L68" i="1" l="1"/>
  <c r="L67" i="1"/>
  <c r="L66" i="1"/>
  <c r="L65" i="1"/>
  <c r="L64" i="1"/>
  <c r="L63" i="1"/>
  <c r="L61" i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2" i="10"/>
  <c r="J62" i="14" l="1"/>
  <c r="J63" i="14"/>
  <c r="J64" i="14"/>
  <c r="J65" i="14"/>
  <c r="J66" i="14"/>
  <c r="J67" i="14"/>
  <c r="J68" i="14"/>
  <c r="J69" i="14"/>
  <c r="J61" i="14"/>
  <c r="H9" i="14" l="1"/>
  <c r="H13" i="14"/>
  <c r="H17" i="14"/>
  <c r="H21" i="14"/>
  <c r="H25" i="14"/>
  <c r="H29" i="14"/>
  <c r="H33" i="14"/>
  <c r="H37" i="14"/>
  <c r="H41" i="14"/>
  <c r="H45" i="14"/>
  <c r="H49" i="14"/>
  <c r="H53" i="14"/>
  <c r="F8" i="14"/>
  <c r="F12" i="14"/>
  <c r="F16" i="14"/>
  <c r="F20" i="14"/>
  <c r="F24" i="14"/>
  <c r="F28" i="14"/>
  <c r="F32" i="14"/>
  <c r="F36" i="14"/>
  <c r="F40" i="14"/>
  <c r="F44" i="14"/>
  <c r="F48" i="14"/>
  <c r="F52" i="14"/>
  <c r="F56" i="14"/>
  <c r="D11" i="14"/>
  <c r="D15" i="14"/>
  <c r="D19" i="14"/>
  <c r="D23" i="14"/>
  <c r="D27" i="14"/>
  <c r="D31" i="14"/>
  <c r="D35" i="14"/>
  <c r="D39" i="14"/>
  <c r="D43" i="14"/>
  <c r="D47" i="14"/>
  <c r="D51" i="14"/>
  <c r="D55" i="14"/>
  <c r="C10" i="14"/>
  <c r="C14" i="14"/>
  <c r="C18" i="14"/>
  <c r="C22" i="14"/>
  <c r="C26" i="14"/>
  <c r="C30" i="14"/>
  <c r="C34" i="14"/>
  <c r="C38" i="14"/>
  <c r="C42" i="14"/>
  <c r="C46" i="14"/>
  <c r="C50" i="14"/>
  <c r="C54" i="14"/>
  <c r="H7" i="14"/>
  <c r="H10" i="14"/>
  <c r="H14" i="14"/>
  <c r="H18" i="14"/>
  <c r="H22" i="14"/>
  <c r="H26" i="14"/>
  <c r="H30" i="14"/>
  <c r="H34" i="14"/>
  <c r="H38" i="14"/>
  <c r="H42" i="14"/>
  <c r="H46" i="14"/>
  <c r="H50" i="14"/>
  <c r="H54" i="14"/>
  <c r="F9" i="14"/>
  <c r="F13" i="14"/>
  <c r="F17" i="14"/>
  <c r="F21" i="14"/>
  <c r="F25" i="14"/>
  <c r="F29" i="14"/>
  <c r="F33" i="14"/>
  <c r="F37" i="14"/>
  <c r="F41" i="14"/>
  <c r="F45" i="14"/>
  <c r="F49" i="14"/>
  <c r="F53" i="14"/>
  <c r="D8" i="14"/>
  <c r="D12" i="14"/>
  <c r="D16" i="14"/>
  <c r="D20" i="14"/>
  <c r="D24" i="14"/>
  <c r="D28" i="14"/>
  <c r="D32" i="14"/>
  <c r="D36" i="14"/>
  <c r="D40" i="14"/>
  <c r="D44" i="14"/>
  <c r="D48" i="14"/>
  <c r="D52" i="14"/>
  <c r="D56" i="14"/>
  <c r="C11" i="14"/>
  <c r="C15" i="14"/>
  <c r="C19" i="14"/>
  <c r="C23" i="14"/>
  <c r="C27" i="14"/>
  <c r="C31" i="14"/>
  <c r="C35" i="14"/>
  <c r="C39" i="14"/>
  <c r="C43" i="14"/>
  <c r="C47" i="14"/>
  <c r="C51" i="14"/>
  <c r="C55" i="14"/>
  <c r="F7" i="14"/>
  <c r="H8" i="14"/>
  <c r="H16" i="14"/>
  <c r="H24" i="14"/>
  <c r="H32" i="14"/>
  <c r="H40" i="14"/>
  <c r="H48" i="14"/>
  <c r="H56" i="14"/>
  <c r="F15" i="14"/>
  <c r="F23" i="14"/>
  <c r="F31" i="14"/>
  <c r="F39" i="14"/>
  <c r="F47" i="14"/>
  <c r="F55" i="14"/>
  <c r="D14" i="14"/>
  <c r="D22" i="14"/>
  <c r="D30" i="14"/>
  <c r="D38" i="14"/>
  <c r="D46" i="14"/>
  <c r="D54" i="14"/>
  <c r="C13" i="14"/>
  <c r="C21" i="14"/>
  <c r="C29" i="14"/>
  <c r="C37" i="14"/>
  <c r="C45" i="14"/>
  <c r="C53" i="14"/>
  <c r="C7" i="14"/>
  <c r="H11" i="14"/>
  <c r="H19" i="14"/>
  <c r="H27" i="14"/>
  <c r="H35" i="14"/>
  <c r="H43" i="14"/>
  <c r="H51" i="14"/>
  <c r="F10" i="14"/>
  <c r="F18" i="14"/>
  <c r="F26" i="14"/>
  <c r="F34" i="14"/>
  <c r="F42" i="14"/>
  <c r="F50" i="14"/>
  <c r="D9" i="14"/>
  <c r="D17" i="14"/>
  <c r="D25" i="14"/>
  <c r="D33" i="14"/>
  <c r="D41" i="14"/>
  <c r="K41" i="14" s="1"/>
  <c r="D49" i="14"/>
  <c r="C8" i="14"/>
  <c r="C16" i="14"/>
  <c r="C24" i="14"/>
  <c r="C32" i="14"/>
  <c r="C40" i="14"/>
  <c r="C48" i="14"/>
  <c r="C56" i="14"/>
  <c r="H23" i="14"/>
  <c r="H39" i="14"/>
  <c r="H55" i="14"/>
  <c r="F22" i="14"/>
  <c r="F38" i="14"/>
  <c r="F54" i="14"/>
  <c r="D21" i="14"/>
  <c r="D37" i="14"/>
  <c r="D53" i="14"/>
  <c r="C20" i="14"/>
  <c r="C36" i="14"/>
  <c r="C52" i="14"/>
  <c r="H31" i="14"/>
  <c r="F14" i="14"/>
  <c r="F46" i="14"/>
  <c r="D29" i="14"/>
  <c r="C12" i="14"/>
  <c r="C44" i="14"/>
  <c r="H36" i="14"/>
  <c r="F19" i="14"/>
  <c r="F51" i="14"/>
  <c r="D34" i="14"/>
  <c r="C17" i="14"/>
  <c r="C49" i="14"/>
  <c r="H12" i="14"/>
  <c r="H28" i="14"/>
  <c r="H44" i="14"/>
  <c r="F11" i="14"/>
  <c r="F27" i="14"/>
  <c r="F43" i="14"/>
  <c r="D10" i="14"/>
  <c r="D26" i="14"/>
  <c r="D42" i="14"/>
  <c r="C9" i="14"/>
  <c r="C25" i="14"/>
  <c r="C41" i="14"/>
  <c r="H15" i="14"/>
  <c r="H47" i="14"/>
  <c r="F30" i="14"/>
  <c r="D13" i="14"/>
  <c r="D45" i="14"/>
  <c r="K45" i="14" s="1"/>
  <c r="C28" i="14"/>
  <c r="D7" i="14"/>
  <c r="H20" i="14"/>
  <c r="H52" i="14"/>
  <c r="F35" i="14"/>
  <c r="D18" i="14"/>
  <c r="K18" i="14" s="1"/>
  <c r="D50" i="14"/>
  <c r="C33" i="14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K37" i="14" l="1"/>
  <c r="K40" i="14"/>
  <c r="K8" i="14"/>
  <c r="K42" i="14"/>
  <c r="K13" i="14"/>
  <c r="K56" i="14"/>
  <c r="K24" i="14"/>
  <c r="K32" i="14"/>
  <c r="K25" i="14"/>
  <c r="J7" i="1"/>
  <c r="K9" i="14"/>
  <c r="K26" i="14"/>
  <c r="K28" i="14"/>
  <c r="K53" i="14"/>
  <c r="K21" i="14"/>
  <c r="K50" i="14"/>
  <c r="K29" i="14"/>
  <c r="K48" i="14"/>
  <c r="K16" i="14"/>
  <c r="K44" i="14"/>
  <c r="K12" i="14"/>
  <c r="K7" i="14"/>
  <c r="K34" i="14"/>
  <c r="K14" i="14"/>
  <c r="K51" i="14"/>
  <c r="K19" i="14"/>
  <c r="K46" i="14"/>
  <c r="K35" i="14"/>
  <c r="K49" i="14"/>
  <c r="K17" i="14"/>
  <c r="K38" i="14"/>
  <c r="K47" i="14"/>
  <c r="K31" i="14"/>
  <c r="K15" i="14"/>
  <c r="K10" i="14"/>
  <c r="K30" i="14"/>
  <c r="L62" i="14"/>
  <c r="L66" i="14"/>
  <c r="L61" i="14"/>
  <c r="L63" i="14"/>
  <c r="L67" i="14"/>
  <c r="L64" i="14"/>
  <c r="L65" i="14"/>
  <c r="L68" i="14"/>
  <c r="K43" i="14"/>
  <c r="K27" i="14"/>
  <c r="K11" i="14"/>
  <c r="K33" i="14"/>
  <c r="K54" i="14"/>
  <c r="K22" i="14"/>
  <c r="K52" i="14"/>
  <c r="K36" i="14"/>
  <c r="K20" i="14"/>
  <c r="K55" i="14"/>
  <c r="K39" i="14"/>
  <c r="K23" i="14"/>
  <c r="I14" i="1"/>
  <c r="I22" i="1"/>
  <c r="I34" i="1"/>
  <c r="I24" i="1"/>
  <c r="I17" i="1"/>
  <c r="I25" i="1"/>
  <c r="I49" i="1"/>
  <c r="I21" i="1"/>
  <c r="I12" i="1"/>
  <c r="I28" i="1"/>
  <c r="I13" i="1"/>
  <c r="I29" i="1"/>
  <c r="I15" i="14"/>
  <c r="I34" i="14"/>
  <c r="I45" i="14"/>
  <c r="I20" i="1"/>
  <c r="I36" i="1"/>
  <c r="I8" i="14"/>
  <c r="I44" i="14"/>
  <c r="I37" i="1"/>
  <c r="I53" i="1"/>
  <c r="I18" i="14"/>
  <c r="I46" i="14"/>
  <c r="I50" i="14"/>
  <c r="I56" i="1"/>
  <c r="I37" i="14"/>
  <c r="I53" i="14"/>
  <c r="I25" i="14"/>
  <c r="I33" i="14"/>
  <c r="I32" i="1"/>
  <c r="I48" i="1"/>
  <c r="I52" i="1"/>
  <c r="I17" i="14"/>
  <c r="I12" i="14"/>
  <c r="I16" i="14"/>
  <c r="I20" i="14"/>
  <c r="I24" i="14"/>
  <c r="I28" i="14"/>
  <c r="I32" i="14"/>
  <c r="I36" i="14"/>
  <c r="I40" i="14"/>
  <c r="I48" i="14"/>
  <c r="I52" i="14"/>
  <c r="I56" i="14"/>
  <c r="I7" i="14"/>
  <c r="I9" i="14"/>
  <c r="I13" i="14"/>
  <c r="I21" i="14"/>
  <c r="I29" i="14"/>
  <c r="I41" i="14"/>
  <c r="I49" i="14"/>
  <c r="I45" i="1"/>
  <c r="I10" i="14"/>
  <c r="I14" i="14"/>
  <c r="I22" i="14"/>
  <c r="I26" i="14"/>
  <c r="I30" i="14"/>
  <c r="I38" i="14"/>
  <c r="I42" i="14"/>
  <c r="I54" i="14"/>
  <c r="I10" i="1"/>
  <c r="I26" i="1"/>
  <c r="I42" i="1"/>
  <c r="I54" i="1"/>
  <c r="I11" i="14"/>
  <c r="I27" i="14"/>
  <c r="I43" i="14"/>
  <c r="I19" i="1"/>
  <c r="I35" i="1"/>
  <c r="I15" i="1"/>
  <c r="I31" i="14"/>
  <c r="I47" i="14"/>
  <c r="I55" i="1"/>
  <c r="I39" i="14"/>
  <c r="I55" i="14"/>
  <c r="I19" i="14"/>
  <c r="I35" i="14"/>
  <c r="I51" i="14"/>
  <c r="I11" i="1"/>
  <c r="I27" i="1"/>
  <c r="I43" i="1"/>
  <c r="I23" i="14"/>
  <c r="I47" i="1"/>
  <c r="I40" i="1"/>
  <c r="I23" i="1"/>
  <c r="I33" i="1"/>
  <c r="I30" i="1"/>
  <c r="I31" i="1"/>
  <c r="I8" i="1"/>
  <c r="I41" i="1"/>
  <c r="I18" i="1"/>
  <c r="I38" i="1"/>
  <c r="I50" i="1"/>
  <c r="I16" i="1"/>
  <c r="I51" i="1"/>
  <c r="I46" i="1"/>
  <c r="I44" i="1"/>
  <c r="I39" i="1"/>
  <c r="J29" i="14" l="1"/>
  <c r="J53" i="14"/>
  <c r="J48" i="14"/>
  <c r="L48" i="14" s="1"/>
  <c r="M48" i="14" s="1"/>
  <c r="P48" i="14" s="1"/>
  <c r="J32" i="14"/>
  <c r="L32" i="14" s="1"/>
  <c r="M32" i="14" s="1"/>
  <c r="P32" i="14" s="1"/>
  <c r="J16" i="14"/>
  <c r="L16" i="14" s="1"/>
  <c r="M16" i="14" s="1"/>
  <c r="N16" i="14" s="1"/>
  <c r="J51" i="14"/>
  <c r="L51" i="14" s="1"/>
  <c r="M51" i="14" s="1"/>
  <c r="P51" i="14" s="1"/>
  <c r="J35" i="14"/>
  <c r="L35" i="14" s="1"/>
  <c r="M35" i="14" s="1"/>
  <c r="P35" i="14" s="1"/>
  <c r="J19" i="14"/>
  <c r="J50" i="14"/>
  <c r="L50" i="14" s="1"/>
  <c r="M50" i="14" s="1"/>
  <c r="P50" i="14" s="1"/>
  <c r="J34" i="14"/>
  <c r="J18" i="14"/>
  <c r="J41" i="14"/>
  <c r="J44" i="14"/>
  <c r="J28" i="14"/>
  <c r="J12" i="14"/>
  <c r="J47" i="14"/>
  <c r="J31" i="14"/>
  <c r="J15" i="14"/>
  <c r="J46" i="14"/>
  <c r="J30" i="14"/>
  <c r="J14" i="14"/>
  <c r="J7" i="14"/>
  <c r="J37" i="14"/>
  <c r="J33" i="14"/>
  <c r="J25" i="14"/>
  <c r="J56" i="14"/>
  <c r="J40" i="14"/>
  <c r="J24" i="14"/>
  <c r="L24" i="14" s="1"/>
  <c r="M24" i="14" s="1"/>
  <c r="N24" i="14" s="1"/>
  <c r="J8" i="14"/>
  <c r="J43" i="14"/>
  <c r="L43" i="14" s="1"/>
  <c r="M43" i="14" s="1"/>
  <c r="P43" i="14" s="1"/>
  <c r="J27" i="14"/>
  <c r="J11" i="14"/>
  <c r="L11" i="14" s="1"/>
  <c r="M11" i="14" s="1"/>
  <c r="P11" i="14" s="1"/>
  <c r="J42" i="14"/>
  <c r="J26" i="14"/>
  <c r="L26" i="14" s="1"/>
  <c r="M26" i="14" s="1"/>
  <c r="P26" i="14" s="1"/>
  <c r="J10" i="14"/>
  <c r="J49" i="14"/>
  <c r="L49" i="14" s="1"/>
  <c r="M49" i="14" s="1"/>
  <c r="P49" i="14" s="1"/>
  <c r="J13" i="14"/>
  <c r="J17" i="14"/>
  <c r="L17" i="14" s="1"/>
  <c r="M17" i="14" s="1"/>
  <c r="P17" i="14" s="1"/>
  <c r="J21" i="14"/>
  <c r="J45" i="14"/>
  <c r="J9" i="14"/>
  <c r="J52" i="14"/>
  <c r="J36" i="14"/>
  <c r="J20" i="14"/>
  <c r="J55" i="14"/>
  <c r="J39" i="14"/>
  <c r="J23" i="14"/>
  <c r="J54" i="14"/>
  <c r="J38" i="14"/>
  <c r="J22" i="14"/>
  <c r="I7" i="1"/>
  <c r="I9" i="1"/>
  <c r="J55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6" i="1"/>
  <c r="J9" i="1"/>
  <c r="L56" i="14" l="1"/>
  <c r="M56" i="14" s="1"/>
  <c r="P56" i="14" s="1"/>
  <c r="L34" i="14"/>
  <c r="M34" i="14" s="1"/>
  <c r="P34" i="14" s="1"/>
  <c r="L19" i="14"/>
  <c r="M19" i="14" s="1"/>
  <c r="P19" i="14" s="1"/>
  <c r="L18" i="14"/>
  <c r="M18" i="14" s="1"/>
  <c r="P18" i="14" s="1"/>
  <c r="N35" i="14"/>
  <c r="O51" i="14"/>
  <c r="L9" i="14"/>
  <c r="M9" i="14" s="1"/>
  <c r="P9" i="14" s="1"/>
  <c r="L21" i="14"/>
  <c r="M21" i="14" s="1"/>
  <c r="P21" i="14" s="1"/>
  <c r="N48" i="14"/>
  <c r="O35" i="14"/>
  <c r="O48" i="14"/>
  <c r="L22" i="14"/>
  <c r="M22" i="14" s="1"/>
  <c r="P22" i="14" s="1"/>
  <c r="L54" i="14"/>
  <c r="M54" i="14" s="1"/>
  <c r="P54" i="14" s="1"/>
  <c r="L38" i="14"/>
  <c r="M38" i="14" s="1"/>
  <c r="P38" i="14" s="1"/>
  <c r="N32" i="14"/>
  <c r="L45" i="14"/>
  <c r="M45" i="14" s="1"/>
  <c r="P45" i="14" s="1"/>
  <c r="N51" i="14"/>
  <c r="L13" i="14"/>
  <c r="M13" i="14" s="1"/>
  <c r="P13" i="14" s="1"/>
  <c r="L10" i="14"/>
  <c r="M10" i="14" s="1"/>
  <c r="P10" i="14" s="1"/>
  <c r="L42" i="14"/>
  <c r="M42" i="14" s="1"/>
  <c r="P42" i="14" s="1"/>
  <c r="L27" i="14"/>
  <c r="M27" i="14" s="1"/>
  <c r="P27" i="14" s="1"/>
  <c r="L8" i="14"/>
  <c r="M8" i="14" s="1"/>
  <c r="L40" i="14"/>
  <c r="M40" i="14" s="1"/>
  <c r="L25" i="14"/>
  <c r="M25" i="14" s="1"/>
  <c r="L37" i="14"/>
  <c r="M37" i="14" s="1"/>
  <c r="P37" i="14" s="1"/>
  <c r="O32" i="14"/>
  <c r="L53" i="14"/>
  <c r="M53" i="14" s="1"/>
  <c r="L55" i="14"/>
  <c r="M55" i="14" s="1"/>
  <c r="P55" i="14" s="1"/>
  <c r="L36" i="14"/>
  <c r="M36" i="14" s="1"/>
  <c r="P36" i="14" s="1"/>
  <c r="O43" i="14"/>
  <c r="L39" i="14"/>
  <c r="M39" i="14" s="1"/>
  <c r="P39" i="14" s="1"/>
  <c r="L20" i="14"/>
  <c r="M20" i="14" s="1"/>
  <c r="O20" i="14" s="1"/>
  <c r="L52" i="14"/>
  <c r="M52" i="14" s="1"/>
  <c r="P52" i="14" s="1"/>
  <c r="N26" i="14"/>
  <c r="O16" i="14"/>
  <c r="P16" i="14"/>
  <c r="N43" i="14"/>
  <c r="O26" i="14"/>
  <c r="L30" i="14"/>
  <c r="M30" i="14" s="1"/>
  <c r="N17" i="14"/>
  <c r="N49" i="14"/>
  <c r="L31" i="14"/>
  <c r="M31" i="14" s="1"/>
  <c r="L28" i="14"/>
  <c r="M28" i="14" s="1"/>
  <c r="L41" i="14"/>
  <c r="M41" i="14" s="1"/>
  <c r="N11" i="14"/>
  <c r="O24" i="14"/>
  <c r="P24" i="14"/>
  <c r="L33" i="14"/>
  <c r="M33" i="14" s="1"/>
  <c r="L7" i="14"/>
  <c r="J58" i="14"/>
  <c r="O17" i="14"/>
  <c r="O49" i="14"/>
  <c r="N50" i="14"/>
  <c r="L23" i="14"/>
  <c r="M23" i="14" s="1"/>
  <c r="O11" i="14"/>
  <c r="K58" i="14"/>
  <c r="L14" i="14"/>
  <c r="M14" i="14" s="1"/>
  <c r="L46" i="14"/>
  <c r="M46" i="14" s="1"/>
  <c r="L15" i="14"/>
  <c r="M15" i="14" s="1"/>
  <c r="L47" i="14"/>
  <c r="M47" i="14" s="1"/>
  <c r="L12" i="14"/>
  <c r="M12" i="14" s="1"/>
  <c r="L44" i="14"/>
  <c r="M44" i="14" s="1"/>
  <c r="O50" i="14"/>
  <c r="L29" i="14"/>
  <c r="M29" i="14" s="1"/>
  <c r="L53" i="1"/>
  <c r="M53" i="1" s="1"/>
  <c r="L51" i="1"/>
  <c r="M51" i="1" s="1"/>
  <c r="L49" i="1"/>
  <c r="M49" i="1" s="1"/>
  <c r="L47" i="1"/>
  <c r="M47" i="1" s="1"/>
  <c r="L45" i="1"/>
  <c r="M45" i="1" s="1"/>
  <c r="L43" i="1"/>
  <c r="M43" i="1" s="1"/>
  <c r="L41" i="1"/>
  <c r="M41" i="1" s="1"/>
  <c r="L39" i="1"/>
  <c r="M39" i="1" s="1"/>
  <c r="L37" i="1"/>
  <c r="M37" i="1" s="1"/>
  <c r="L35" i="1"/>
  <c r="M35" i="1" s="1"/>
  <c r="L33" i="1"/>
  <c r="M33" i="1" s="1"/>
  <c r="L31" i="1"/>
  <c r="M31" i="1" s="1"/>
  <c r="L29" i="1"/>
  <c r="M29" i="1" s="1"/>
  <c r="L27" i="1"/>
  <c r="M27" i="1" s="1"/>
  <c r="L25" i="1"/>
  <c r="M25" i="1" s="1"/>
  <c r="L23" i="1"/>
  <c r="M23" i="1" s="1"/>
  <c r="L21" i="1"/>
  <c r="M21" i="1" s="1"/>
  <c r="L19" i="1"/>
  <c r="M19" i="1" s="1"/>
  <c r="L17" i="1"/>
  <c r="M17" i="1" s="1"/>
  <c r="L15" i="1"/>
  <c r="M15" i="1" s="1"/>
  <c r="L13" i="1"/>
  <c r="M13" i="1" s="1"/>
  <c r="L11" i="1"/>
  <c r="M11" i="1" s="1"/>
  <c r="L56" i="1"/>
  <c r="M56" i="1" s="1"/>
  <c r="L55" i="1"/>
  <c r="M55" i="1" s="1"/>
  <c r="L54" i="1"/>
  <c r="M54" i="1" s="1"/>
  <c r="L52" i="1"/>
  <c r="M52" i="1" s="1"/>
  <c r="L50" i="1"/>
  <c r="M50" i="1" s="1"/>
  <c r="L48" i="1"/>
  <c r="M48" i="1" s="1"/>
  <c r="L46" i="1"/>
  <c r="M46" i="1" s="1"/>
  <c r="L44" i="1"/>
  <c r="M44" i="1" s="1"/>
  <c r="L42" i="1"/>
  <c r="M42" i="1" s="1"/>
  <c r="L40" i="1"/>
  <c r="M40" i="1" s="1"/>
  <c r="L38" i="1"/>
  <c r="M38" i="1" s="1"/>
  <c r="L36" i="1"/>
  <c r="M36" i="1" s="1"/>
  <c r="L34" i="1"/>
  <c r="M34" i="1" s="1"/>
  <c r="L32" i="1"/>
  <c r="M32" i="1" s="1"/>
  <c r="L30" i="1"/>
  <c r="M30" i="1" s="1"/>
  <c r="L28" i="1"/>
  <c r="M28" i="1" s="1"/>
  <c r="L26" i="1"/>
  <c r="M26" i="1" s="1"/>
  <c r="L24" i="1"/>
  <c r="M24" i="1" s="1"/>
  <c r="L22" i="1"/>
  <c r="M22" i="1" s="1"/>
  <c r="L20" i="1"/>
  <c r="M20" i="1" s="1"/>
  <c r="L18" i="1"/>
  <c r="M18" i="1" s="1"/>
  <c r="L16" i="1"/>
  <c r="M16" i="1" s="1"/>
  <c r="L14" i="1"/>
  <c r="M14" i="1" s="1"/>
  <c r="L12" i="1"/>
  <c r="M12" i="1" s="1"/>
  <c r="J10" i="1"/>
  <c r="L9" i="1"/>
  <c r="M9" i="1" s="1"/>
  <c r="O9" i="1" s="1"/>
  <c r="J8" i="1"/>
  <c r="N54" i="14" l="1"/>
  <c r="N34" i="14"/>
  <c r="N56" i="14"/>
  <c r="O56" i="14"/>
  <c r="O18" i="14"/>
  <c r="O34" i="14"/>
  <c r="N9" i="14"/>
  <c r="N18" i="14"/>
  <c r="O37" i="14"/>
  <c r="O22" i="14"/>
  <c r="O19" i="14"/>
  <c r="N19" i="14"/>
  <c r="N38" i="14"/>
  <c r="O38" i="14"/>
  <c r="O52" i="14"/>
  <c r="N27" i="14"/>
  <c r="O13" i="14"/>
  <c r="O27" i="14"/>
  <c r="O9" i="14"/>
  <c r="N13" i="14"/>
  <c r="N10" i="14"/>
  <c r="N21" i="14"/>
  <c r="O21" i="14"/>
  <c r="O55" i="14"/>
  <c r="O42" i="14"/>
  <c r="O54" i="14"/>
  <c r="O10" i="14"/>
  <c r="N39" i="14"/>
  <c r="N22" i="14"/>
  <c r="N20" i="14"/>
  <c r="N42" i="14"/>
  <c r="P20" i="14"/>
  <c r="O45" i="14"/>
  <c r="N55" i="14"/>
  <c r="O39" i="14"/>
  <c r="N45" i="14"/>
  <c r="N36" i="14"/>
  <c r="P25" i="14"/>
  <c r="N25" i="14"/>
  <c r="O25" i="14"/>
  <c r="N52" i="14"/>
  <c r="N37" i="14"/>
  <c r="P40" i="14"/>
  <c r="N40" i="14"/>
  <c r="O40" i="14"/>
  <c r="P8" i="14"/>
  <c r="N8" i="14"/>
  <c r="O8" i="14"/>
  <c r="O36" i="14"/>
  <c r="P53" i="14"/>
  <c r="N53" i="14"/>
  <c r="O53" i="14"/>
  <c r="P33" i="14"/>
  <c r="O33" i="14"/>
  <c r="N33" i="14"/>
  <c r="P28" i="14"/>
  <c r="N28" i="14"/>
  <c r="O28" i="14"/>
  <c r="P30" i="14"/>
  <c r="N30" i="14"/>
  <c r="O30" i="14"/>
  <c r="P12" i="14"/>
  <c r="O12" i="14"/>
  <c r="N12" i="14"/>
  <c r="P14" i="14"/>
  <c r="N14" i="14"/>
  <c r="O14" i="14"/>
  <c r="P23" i="14"/>
  <c r="N23" i="14"/>
  <c r="O23" i="14"/>
  <c r="P31" i="14"/>
  <c r="N31" i="14"/>
  <c r="O31" i="14"/>
  <c r="P29" i="14"/>
  <c r="O29" i="14"/>
  <c r="N29" i="14"/>
  <c r="P44" i="14"/>
  <c r="N44" i="14"/>
  <c r="O44" i="14"/>
  <c r="P47" i="14"/>
  <c r="N47" i="14"/>
  <c r="O47" i="14"/>
  <c r="P46" i="14"/>
  <c r="N46" i="14"/>
  <c r="O46" i="14"/>
  <c r="P15" i="14"/>
  <c r="N15" i="14"/>
  <c r="O15" i="14"/>
  <c r="M7" i="14"/>
  <c r="L58" i="14"/>
  <c r="P41" i="14"/>
  <c r="O41" i="14"/>
  <c r="N41" i="14"/>
  <c r="K58" i="1"/>
  <c r="O16" i="1"/>
  <c r="N16" i="1"/>
  <c r="O24" i="1"/>
  <c r="N24" i="1"/>
  <c r="O32" i="1"/>
  <c r="N32" i="1"/>
  <c r="O40" i="1"/>
  <c r="N40" i="1"/>
  <c r="O48" i="1"/>
  <c r="N48" i="1"/>
  <c r="N55" i="1"/>
  <c r="O55" i="1"/>
  <c r="P15" i="1"/>
  <c r="N15" i="1"/>
  <c r="O15" i="1"/>
  <c r="P23" i="1"/>
  <c r="N23" i="1"/>
  <c r="O23" i="1"/>
  <c r="N31" i="1"/>
  <c r="O31" i="1"/>
  <c r="N39" i="1"/>
  <c r="O39" i="1"/>
  <c r="N47" i="1"/>
  <c r="O47" i="1"/>
  <c r="N18" i="1"/>
  <c r="O18" i="1"/>
  <c r="N26" i="1"/>
  <c r="O26" i="1"/>
  <c r="O34" i="1"/>
  <c r="N34" i="1"/>
  <c r="O42" i="1"/>
  <c r="N42" i="1"/>
  <c r="O50" i="1"/>
  <c r="N50" i="1"/>
  <c r="O56" i="1"/>
  <c r="N56" i="1"/>
  <c r="O17" i="1"/>
  <c r="N17" i="1"/>
  <c r="P25" i="1"/>
  <c r="O25" i="1"/>
  <c r="N25" i="1"/>
  <c r="O33" i="1"/>
  <c r="N33" i="1"/>
  <c r="O41" i="1"/>
  <c r="N41" i="1"/>
  <c r="O49" i="1"/>
  <c r="N49" i="1"/>
  <c r="O12" i="1"/>
  <c r="N12" i="1"/>
  <c r="O28" i="1"/>
  <c r="N28" i="1"/>
  <c r="O36" i="1"/>
  <c r="N36" i="1"/>
  <c r="O44" i="1"/>
  <c r="N44" i="1"/>
  <c r="O52" i="1"/>
  <c r="N52" i="1"/>
  <c r="P11" i="1"/>
  <c r="N11" i="1"/>
  <c r="O11" i="1"/>
  <c r="N19" i="1"/>
  <c r="O19" i="1"/>
  <c r="N27" i="1"/>
  <c r="O27" i="1"/>
  <c r="N35" i="1"/>
  <c r="O35" i="1"/>
  <c r="P43" i="1"/>
  <c r="O43" i="1"/>
  <c r="N43" i="1"/>
  <c r="P51" i="1"/>
  <c r="N51" i="1"/>
  <c r="O51" i="1"/>
  <c r="N9" i="1"/>
  <c r="O20" i="1"/>
  <c r="N20" i="1"/>
  <c r="O14" i="1"/>
  <c r="N14" i="1"/>
  <c r="O22" i="1"/>
  <c r="N22" i="1"/>
  <c r="O30" i="1"/>
  <c r="N30" i="1"/>
  <c r="N38" i="1"/>
  <c r="O38" i="1"/>
  <c r="O46" i="1"/>
  <c r="N46" i="1"/>
  <c r="O54" i="1"/>
  <c r="N54" i="1"/>
  <c r="P13" i="1"/>
  <c r="O13" i="1"/>
  <c r="N13" i="1"/>
  <c r="O21" i="1"/>
  <c r="N21" i="1"/>
  <c r="P29" i="1"/>
  <c r="O29" i="1"/>
  <c r="N29" i="1"/>
  <c r="O37" i="1"/>
  <c r="N37" i="1"/>
  <c r="O45" i="1"/>
  <c r="N45" i="1"/>
  <c r="P53" i="1"/>
  <c r="O53" i="1"/>
  <c r="N53" i="1"/>
  <c r="P39" i="1"/>
  <c r="P35" i="1"/>
  <c r="P49" i="1"/>
  <c r="P37" i="1"/>
  <c r="P27" i="1"/>
  <c r="P21" i="1"/>
  <c r="P19" i="1"/>
  <c r="P17" i="1"/>
  <c r="P47" i="1"/>
  <c r="P41" i="1"/>
  <c r="P33" i="1"/>
  <c r="P55" i="1"/>
  <c r="P31" i="1"/>
  <c r="P45" i="1"/>
  <c r="P56" i="1"/>
  <c r="L10" i="1"/>
  <c r="M10" i="1" s="1"/>
  <c r="P12" i="1"/>
  <c r="P20" i="1"/>
  <c r="P28" i="1"/>
  <c r="P36" i="1"/>
  <c r="P44" i="1"/>
  <c r="P52" i="1"/>
  <c r="L7" i="1"/>
  <c r="P14" i="1"/>
  <c r="P22" i="1"/>
  <c r="P30" i="1"/>
  <c r="P38" i="1"/>
  <c r="P46" i="1"/>
  <c r="P54" i="1"/>
  <c r="L8" i="1"/>
  <c r="M8" i="1" s="1"/>
  <c r="P16" i="1"/>
  <c r="P24" i="1"/>
  <c r="P32" i="1"/>
  <c r="P40" i="1"/>
  <c r="P48" i="1"/>
  <c r="P9" i="1"/>
  <c r="P18" i="1"/>
  <c r="P26" i="1"/>
  <c r="P34" i="1"/>
  <c r="P42" i="1"/>
  <c r="P50" i="1"/>
  <c r="J58" i="1"/>
  <c r="P7" i="14" l="1"/>
  <c r="D60" i="14" s="1"/>
  <c r="M58" i="14"/>
  <c r="O7" i="14"/>
  <c r="L69" i="14" s="1"/>
  <c r="N7" i="14"/>
  <c r="N58" i="14" s="1"/>
  <c r="M7" i="1"/>
  <c r="P7" i="1" s="1"/>
  <c r="D60" i="1" s="1"/>
  <c r="L58" i="1"/>
  <c r="O8" i="1"/>
  <c r="N8" i="1"/>
  <c r="N10" i="1"/>
  <c r="O10" i="1"/>
  <c r="P10" i="1"/>
  <c r="P8" i="1"/>
  <c r="D62" i="1" l="1"/>
  <c r="D62" i="14"/>
  <c r="O58" i="14"/>
  <c r="D63" i="14" s="1"/>
  <c r="P58" i="14"/>
  <c r="M58" i="1"/>
  <c r="N7" i="1"/>
  <c r="N58" i="1" s="1"/>
  <c r="O7" i="1"/>
  <c r="L69" i="1" s="1"/>
  <c r="P58" i="1"/>
  <c r="D64" i="14" l="1"/>
  <c r="O58" i="1"/>
  <c r="D63" i="1" s="1"/>
  <c r="D65" i="1" s="1"/>
</calcChain>
</file>

<file path=xl/sharedStrings.xml><?xml version="1.0" encoding="utf-8"?>
<sst xmlns="http://schemas.openxmlformats.org/spreadsheetml/2006/main" count="312" uniqueCount="156">
  <si>
    <t>Item</t>
  </si>
  <si>
    <t>MRP</t>
  </si>
  <si>
    <t>Quantity</t>
  </si>
  <si>
    <t>Rate</t>
  </si>
  <si>
    <t>Margin
 %</t>
  </si>
  <si>
    <t>Discount
 %</t>
  </si>
  <si>
    <t>Tax 
%</t>
  </si>
  <si>
    <t>Discount
 Amount</t>
  </si>
  <si>
    <t>After 
Margin</t>
  </si>
  <si>
    <t>Total
Tax</t>
  </si>
  <si>
    <t>Total
Amount</t>
  </si>
  <si>
    <t>Totals
-</t>
  </si>
  <si>
    <t>HSN</t>
  </si>
  <si>
    <t>Customer</t>
  </si>
  <si>
    <t>Customer Name</t>
  </si>
  <si>
    <t>Customer Address</t>
  </si>
  <si>
    <t>Customer Phone</t>
  </si>
  <si>
    <t>Customer GST</t>
  </si>
  <si>
    <t>Customer TIN</t>
  </si>
  <si>
    <t>Customer PAN</t>
  </si>
  <si>
    <t>Ashish Bagaddeo</t>
  </si>
  <si>
    <t>Tax Name</t>
  </si>
  <si>
    <t>GST 5%</t>
  </si>
  <si>
    <t>GST 12%</t>
  </si>
  <si>
    <t>GST 18%</t>
  </si>
  <si>
    <t>GST 28%</t>
  </si>
  <si>
    <t>IGST 5%</t>
  </si>
  <si>
    <t>IGST 12%</t>
  </si>
  <si>
    <t>IGST 18%</t>
  </si>
  <si>
    <t>IGST 28%</t>
  </si>
  <si>
    <t>Tax 
Type</t>
  </si>
  <si>
    <t>Split 1</t>
  </si>
  <si>
    <t>CGST</t>
  </si>
  <si>
    <t>Split 1 %</t>
  </si>
  <si>
    <t>Tax %</t>
  </si>
  <si>
    <t>Split 2</t>
  </si>
  <si>
    <t>Split 2 %</t>
  </si>
  <si>
    <t>SGST</t>
  </si>
  <si>
    <t>After Discount</t>
  </si>
  <si>
    <t>Sr. 
No.</t>
  </si>
  <si>
    <t>Item Name</t>
  </si>
  <si>
    <t>Size/Variant</t>
  </si>
  <si>
    <t>Item Code</t>
  </si>
  <si>
    <t>Margin</t>
  </si>
  <si>
    <t>Tax Rate</t>
  </si>
  <si>
    <t>Helper</t>
  </si>
  <si>
    <t>Bill No</t>
  </si>
  <si>
    <t>Bill Date</t>
  </si>
  <si>
    <t>OVERALL DISCOUNT %</t>
  </si>
  <si>
    <t>FINAL AMOUNT</t>
  </si>
  <si>
    <t>TOTAL AMOUNT</t>
  </si>
  <si>
    <t>OVERALL DISCOUNT AMOUNT</t>
  </si>
  <si>
    <t>Exempted</t>
  </si>
  <si>
    <t>Tax</t>
  </si>
  <si>
    <t>BillNo</t>
  </si>
  <si>
    <t>BillDate</t>
  </si>
  <si>
    <t>TotalAmount</t>
  </si>
  <si>
    <t>OverallDiscountPercent</t>
  </si>
  <si>
    <t>OverallDiscountAmount</t>
  </si>
  <si>
    <t>IGST</t>
  </si>
  <si>
    <t>FinalAmount</t>
  </si>
  <si>
    <t>ITEM</t>
  </si>
  <si>
    <t>Amount</t>
  </si>
  <si>
    <t>DISCOUNT AMT</t>
  </si>
  <si>
    <t xml:space="preserve">CGST </t>
  </si>
  <si>
    <t>QTY</t>
  </si>
  <si>
    <t>RATE</t>
  </si>
  <si>
    <t>TAX %</t>
  </si>
  <si>
    <t>DISC</t>
  </si>
  <si>
    <r>
      <t xml:space="preserve">TAX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</si>
  <si>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PRICE
</t>
    </r>
    <r>
      <rPr>
        <b/>
        <sz val="10"/>
        <color theme="1"/>
        <rFont val="Calibri"/>
        <family val="2"/>
        <scheme val="minor"/>
      </rPr>
      <t>per/unit</t>
    </r>
  </si>
  <si>
    <r>
      <t xml:space="preserve">DISC
</t>
    </r>
    <r>
      <rPr>
        <b/>
        <sz val="10"/>
        <color theme="1"/>
        <rFont val="Calibri"/>
        <family val="2"/>
        <scheme val="minor"/>
      </rPr>
      <t>%</t>
    </r>
  </si>
  <si>
    <t xml:space="preserve">TOTAL AMOUNT </t>
  </si>
  <si>
    <t xml:space="preserve">DISCOUNT AMT </t>
  </si>
  <si>
    <t xml:space="preserve">CGST  </t>
  </si>
  <si>
    <t xml:space="preserve">SGST </t>
  </si>
  <si>
    <t xml:space="preserve">IGST </t>
  </si>
  <si>
    <t xml:space="preserve">FINAL AMOUNT </t>
  </si>
  <si>
    <r>
      <t xml:space="preserve">DISC
</t>
    </r>
    <r>
      <rPr>
        <b/>
        <sz val="10"/>
        <color theme="1"/>
        <rFont val="Calibri"/>
        <family val="2"/>
        <scheme val="minor"/>
      </rPr>
      <t>Amount</t>
    </r>
  </si>
  <si>
    <t>Sign of Authorized Person</t>
  </si>
  <si>
    <t>Rupees in Words :</t>
  </si>
  <si>
    <t>TAX</t>
  </si>
  <si>
    <t>FINAL AMOUNT (ROUNDED)</t>
  </si>
  <si>
    <t>Goods received in good condition</t>
  </si>
  <si>
    <t>B 202, Harmony, Pune</t>
  </si>
  <si>
    <t>Total Sales</t>
  </si>
  <si>
    <t>Total Tax</t>
  </si>
  <si>
    <t>From Date</t>
  </si>
  <si>
    <t>To Date</t>
  </si>
  <si>
    <t>Tax Type</t>
  </si>
  <si>
    <t>TOTAL TAX AMOUNT</t>
  </si>
  <si>
    <t>Company</t>
  </si>
  <si>
    <t xml:space="preserve">TOTAL TAX </t>
  </si>
  <si>
    <t>TotalTax</t>
  </si>
  <si>
    <t>CGST @ 2.5%</t>
  </si>
  <si>
    <t>SGST @ 2.5%</t>
  </si>
  <si>
    <t>12  Piegeon Product 8  - 12486</t>
  </si>
  <si>
    <t>01  Avent Baby Craddle  - M/15742</t>
  </si>
  <si>
    <t>02  Avent Baby Craddle  - L/15743</t>
  </si>
  <si>
    <t>03  Piegeon Baby Nipple  - 15742</t>
  </si>
  <si>
    <t>04  Piegeon Baby Diaper  - M/12486</t>
  </si>
  <si>
    <t>05  Piegeon Product 1  - 12486</t>
  </si>
  <si>
    <t>06  Piegeon Product 2  - 12486</t>
  </si>
  <si>
    <t>07  Piegeon Product 3  - 12486</t>
  </si>
  <si>
    <t>08  Piegeon Product 4  - 12486</t>
  </si>
  <si>
    <t>09  Piegeon Product 5  - 12486</t>
  </si>
  <si>
    <t>10  Piegeon Product 6  - 12486</t>
  </si>
  <si>
    <t>11  Piegeon Product 7  - 12486</t>
  </si>
  <si>
    <t>13  Piegeon Product 9  - 12486</t>
  </si>
  <si>
    <t>14  Piegeon Product 10  - 12486</t>
  </si>
  <si>
    <t>15  Piegeon Product 11  - 12486</t>
  </si>
  <si>
    <t>16  Piegeon Product 12  - 12486</t>
  </si>
  <si>
    <t>17  Piegeon Product 13  - 12486</t>
  </si>
  <si>
    <t>18  Avent Product 14  - 12486</t>
  </si>
  <si>
    <t>19  Avent Product 15  - 12486</t>
  </si>
  <si>
    <t>20  Avent Product 16  - 12486</t>
  </si>
  <si>
    <t>21  Avent Product 17  - 12486</t>
  </si>
  <si>
    <t>22  Avent Product 18  - 12486</t>
  </si>
  <si>
    <t>23  Avent Product 19  - 12486</t>
  </si>
  <si>
    <t>24  Avent Product 20  - 12486</t>
  </si>
  <si>
    <t>25  Avent Product 21  - 12486</t>
  </si>
  <si>
    <t>26  Avent Product 22  - 12486</t>
  </si>
  <si>
    <t>27  Avent Product 23  - 12486</t>
  </si>
  <si>
    <t>28  Avent Product 24  - 12486</t>
  </si>
  <si>
    <t>29  Avent Product 25  - 12486</t>
  </si>
  <si>
    <t>30  Avent Product 26  - 12486</t>
  </si>
  <si>
    <t>One Lakh Fifty Seven Thousand Seven Hundred only</t>
  </si>
  <si>
    <t>CGST @    6%</t>
  </si>
  <si>
    <t>CGST @    9%</t>
  </si>
  <si>
    <t>CGST @  14%</t>
  </si>
  <si>
    <t>IGST @    5%</t>
  </si>
  <si>
    <t>IGST @  12%</t>
  </si>
  <si>
    <t>IGST @  18%</t>
  </si>
  <si>
    <t>IGST @  28%</t>
  </si>
  <si>
    <t>SGST @    6%</t>
  </si>
  <si>
    <t>SGST @    9%</t>
  </si>
  <si>
    <t>SGST @  14%</t>
  </si>
  <si>
    <r>
      <t xml:space="preserve">GRAND TOTAL </t>
    </r>
    <r>
      <rPr>
        <b/>
        <sz val="8"/>
        <color theme="1"/>
        <rFont val="Calibri"/>
        <family val="2"/>
        <scheme val="minor"/>
      </rPr>
      <t xml:space="preserve">(Rounded)  </t>
    </r>
  </si>
  <si>
    <t>Modak</t>
  </si>
  <si>
    <t>Steamed</t>
  </si>
  <si>
    <t>Fried</t>
  </si>
  <si>
    <t xml:space="preserve"> Modak  - Fried</t>
  </si>
  <si>
    <t>Chivda</t>
  </si>
  <si>
    <t>200 gms</t>
  </si>
  <si>
    <t>01   Modak  - Fried</t>
  </si>
  <si>
    <t xml:space="preserve">ADDT. DISCOUNT @ 10% </t>
  </si>
  <si>
    <t>DBOI Global Services Pvt. Ltd.</t>
  </si>
  <si>
    <t>Pune, Maharashtra</t>
  </si>
  <si>
    <t xml:space="preserve"> +91 20 7124 9000</t>
  </si>
  <si>
    <t>Packaging</t>
  </si>
  <si>
    <t>Packaging &amp; Delivery</t>
  </si>
  <si>
    <t>Totals</t>
  </si>
  <si>
    <t>PACKAGING &amp; DELIVERY</t>
  </si>
  <si>
    <t xml:space="preserve">PACKAGING &amp; DELIVERY </t>
  </si>
  <si>
    <t>Nine Hundred Twenty Eight only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</si>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</sst>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62626"/>
      <name val="Verdana"/>
      <family val="2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1" xfId="0" applyBorder="1" applyProtection="1">
      <protection locked="0"/>
    </xf>
    <xf numFmtId="0" fontId="1" fillId="2" borderId="3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" fillId="2" borderId="11" xfId="0" applyFont="1" applyFill="1" applyBorder="1"/>
    <xf numFmtId="0" fontId="1" fillId="2" borderId="1" xfId="0" applyFont="1" applyFill="1" applyBorder="1"/>
    <xf numFmtId="0" fontId="0" fillId="0" borderId="12" xfId="0" applyBorder="1" applyProtection="1">
      <protection locked="0"/>
    </xf>
    <xf numFmtId="0" fontId="0" fillId="7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5" xfId="0" applyBorder="1" applyProtection="1"/>
    <xf numFmtId="0" fontId="0" fillId="0" borderId="0" xfId="0" applyFill="1"/>
    <xf numFmtId="14" fontId="0" fillId="0" borderId="0" xfId="0" applyNumberFormat="1"/>
    <xf numFmtId="1" fontId="0" fillId="0" borderId="0" xfId="0" applyNumberFormat="1"/>
    <xf numFmtId="1" fontId="1" fillId="2" borderId="0" xfId="0" applyNumberFormat="1" applyFont="1" applyFill="1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0" fontId="4" fillId="0" borderId="0" xfId="0" applyFont="1" applyAlignment="1">
      <alignment vertical="center"/>
    </xf>
    <xf numFmtId="0" fontId="5" fillId="0" borderId="0" xfId="0" applyFont="1"/>
    <xf numFmtId="0" fontId="1" fillId="0" borderId="11" xfId="0" applyFont="1" applyBorder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2" fontId="5" fillId="0" borderId="0" xfId="0" applyNumberFormat="1" applyFont="1" applyAlignment="1">
      <alignment horizontal="right" vertical="center"/>
    </xf>
    <xf numFmtId="0" fontId="1" fillId="0" borderId="11" xfId="0" applyFont="1" applyBorder="1" applyAlignment="1">
      <alignment horizontal="right" vertical="top"/>
    </xf>
    <xf numFmtId="0" fontId="1" fillId="0" borderId="11" xfId="0" applyFont="1" applyBorder="1" applyAlignment="1">
      <alignment horizontal="right" vertical="top" wrapText="1"/>
    </xf>
    <xf numFmtId="2" fontId="5" fillId="0" borderId="1" xfId="0" applyNumberFormat="1" applyFont="1" applyBorder="1" applyAlignment="1">
      <alignment horizontal="right"/>
    </xf>
    <xf numFmtId="0" fontId="5" fillId="0" borderId="0" xfId="0" applyFont="1" applyBorder="1"/>
    <xf numFmtId="2" fontId="5" fillId="0" borderId="0" xfId="0" applyNumberFormat="1" applyFont="1" applyAlignment="1">
      <alignment horizontal="center" vertical="center"/>
    </xf>
    <xf numFmtId="2" fontId="3" fillId="0" borderId="1" xfId="0" applyNumberFormat="1" applyFont="1" applyBorder="1" applyAlignment="1">
      <alignment horizontal="right"/>
    </xf>
    <xf numFmtId="2" fontId="0" fillId="0" borderId="0" xfId="0" applyNumberFormat="1" applyFill="1"/>
    <xf numFmtId="2" fontId="0" fillId="9" borderId="0" xfId="0" applyNumberFormat="1" applyFill="1"/>
    <xf numFmtId="2" fontId="0" fillId="7" borderId="0" xfId="0" applyNumberFormat="1" applyFill="1"/>
    <xf numFmtId="2" fontId="0" fillId="4" borderId="1" xfId="0" applyNumberFormat="1" applyFill="1" applyBorder="1" applyProtection="1"/>
    <xf numFmtId="2" fontId="0" fillId="4" borderId="17" xfId="0" applyNumberFormat="1" applyFill="1" applyBorder="1" applyProtection="1"/>
    <xf numFmtId="2" fontId="0" fillId="4" borderId="6" xfId="0" applyNumberFormat="1" applyFill="1" applyBorder="1" applyProtection="1"/>
    <xf numFmtId="2" fontId="0" fillId="4" borderId="14" xfId="0" applyNumberFormat="1" applyFill="1" applyBorder="1" applyProtection="1"/>
    <xf numFmtId="2" fontId="0" fillId="4" borderId="15" xfId="0" applyNumberFormat="1" applyFill="1" applyBorder="1" applyProtection="1"/>
    <xf numFmtId="2" fontId="0" fillId="0" borderId="0" xfId="0" applyNumberFormat="1" applyProtection="1"/>
    <xf numFmtId="2" fontId="1" fillId="10" borderId="8" xfId="0" applyNumberFormat="1" applyFont="1" applyFill="1" applyBorder="1" applyProtection="1"/>
    <xf numFmtId="2" fontId="1" fillId="10" borderId="9" xfId="0" applyNumberFormat="1" applyFont="1" applyFill="1" applyBorder="1" applyProtection="1"/>
    <xf numFmtId="0" fontId="0" fillId="0" borderId="28" xfId="0" applyBorder="1" applyProtection="1"/>
    <xf numFmtId="0" fontId="0" fillId="0" borderId="14" xfId="0" applyBorder="1" applyProtection="1">
      <protection locked="0"/>
    </xf>
    <xf numFmtId="2" fontId="0" fillId="4" borderId="29" xfId="0" applyNumberFormat="1" applyFill="1" applyBorder="1" applyProtection="1"/>
    <xf numFmtId="0" fontId="0" fillId="0" borderId="30" xfId="0" applyBorder="1" applyProtection="1"/>
    <xf numFmtId="0" fontId="0" fillId="0" borderId="22" xfId="0" applyBorder="1" applyProtection="1">
      <protection locked="0"/>
    </xf>
    <xf numFmtId="2" fontId="0" fillId="4" borderId="22" xfId="0" applyNumberFormat="1" applyFill="1" applyBorder="1" applyProtection="1"/>
    <xf numFmtId="2" fontId="0" fillId="4" borderId="26" xfId="0" applyNumberFormat="1" applyFill="1" applyBorder="1" applyProtection="1"/>
    <xf numFmtId="2" fontId="0" fillId="4" borderId="31" xfId="0" applyNumberFormat="1" applyFill="1" applyBorder="1" applyProtection="1"/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 wrapText="1"/>
    </xf>
    <xf numFmtId="2" fontId="1" fillId="2" borderId="8" xfId="0" applyNumberFormat="1" applyFont="1" applyFill="1" applyBorder="1" applyAlignment="1" applyProtection="1">
      <alignment horizontal="center" vertical="center"/>
    </xf>
    <xf numFmtId="2" fontId="1" fillId="2" borderId="32" xfId="0" applyNumberFormat="1" applyFont="1" applyFill="1" applyBorder="1" applyAlignment="1" applyProtection="1">
      <alignment horizontal="center" vertical="center" wrapText="1"/>
    </xf>
    <xf numFmtId="2" fontId="1" fillId="2" borderId="9" xfId="0" applyNumberFormat="1" applyFont="1" applyFill="1" applyBorder="1" applyAlignment="1" applyProtection="1">
      <alignment horizontal="center" vertical="center" wrapText="1"/>
    </xf>
    <xf numFmtId="2" fontId="1" fillId="5" borderId="0" xfId="0" applyNumberFormat="1" applyFont="1" applyFill="1" applyAlignment="1">
      <alignment horizont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 wrapText="1"/>
    </xf>
    <xf numFmtId="2" fontId="1" fillId="2" borderId="3" xfId="0" applyNumberFormat="1" applyFont="1" applyFill="1" applyBorder="1" applyAlignment="1" applyProtection="1">
      <alignment horizontal="center" vertical="center"/>
    </xf>
    <xf numFmtId="2" fontId="1" fillId="2" borderId="16" xfId="0" applyNumberFormat="1" applyFont="1" applyFill="1" applyBorder="1" applyAlignment="1" applyProtection="1">
      <alignment horizontal="center" vertical="center" wrapText="1"/>
    </xf>
    <xf numFmtId="2" fontId="1" fillId="2" borderId="4" xfId="0" applyNumberFormat="1" applyFont="1" applyFill="1" applyBorder="1" applyAlignment="1" applyProtection="1">
      <alignment horizontal="center" vertical="center" wrapText="1"/>
    </xf>
    <xf numFmtId="2" fontId="0" fillId="0" borderId="1" xfId="0" applyNumberFormat="1" applyBorder="1" applyProtection="1">
      <protection locked="0"/>
    </xf>
    <xf numFmtId="2" fontId="1" fillId="3" borderId="8" xfId="0" applyNumberFormat="1" applyFont="1" applyFill="1" applyBorder="1" applyProtection="1"/>
    <xf numFmtId="2" fontId="1" fillId="3" borderId="9" xfId="0" applyNumberFormat="1" applyFont="1" applyFill="1" applyBorder="1" applyProtection="1"/>
    <xf numFmtId="1" fontId="0" fillId="0" borderId="1" xfId="0" applyNumberFormat="1" applyBorder="1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2" xfId="0" applyBorder="1" applyAlignment="1" applyProtection="1">
      <alignment horizontal="center" vertical="center"/>
      <protection locked="0"/>
    </xf>
    <xf numFmtId="4" fontId="0" fillId="6" borderId="8" xfId="0" applyNumberFormat="1" applyFont="1" applyFill="1" applyBorder="1" applyProtection="1">
      <protection locked="0"/>
    </xf>
    <xf numFmtId="0" fontId="4" fillId="0" borderId="0" xfId="0" applyFont="1" applyAlignment="1" applyProtection="1">
      <alignment vertical="center"/>
    </xf>
    <xf numFmtId="0" fontId="5" fillId="0" borderId="0" xfId="0" applyFont="1" applyProtection="1"/>
    <xf numFmtId="2" fontId="5" fillId="0" borderId="0" xfId="0" applyNumberFormat="1" applyFont="1" applyProtection="1"/>
    <xf numFmtId="2" fontId="5" fillId="0" borderId="0" xfId="0" applyNumberFormat="1" applyFont="1" applyAlignment="1" applyProtection="1">
      <alignment horizontal="center" vertical="top"/>
    </xf>
    <xf numFmtId="0" fontId="5" fillId="0" borderId="0" xfId="0" applyFont="1" applyAlignment="1" applyProtection="1">
      <alignment horizontal="center" vertical="top"/>
    </xf>
    <xf numFmtId="0" fontId="0" fillId="0" borderId="0" xfId="0" applyProtection="1"/>
    <xf numFmtId="0" fontId="1" fillId="0" borderId="11" xfId="0" applyFont="1" applyBorder="1" applyAlignment="1" applyProtection="1">
      <alignment horizontal="center" vertical="top"/>
    </xf>
    <xf numFmtId="0" fontId="1" fillId="0" borderId="11" xfId="0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/>
    </xf>
    <xf numFmtId="2" fontId="1" fillId="0" borderId="11" xfId="0" applyNumberFormat="1" applyFont="1" applyBorder="1" applyAlignment="1" applyProtection="1">
      <alignment horizontal="right" vertical="top" wrapText="1"/>
    </xf>
    <xf numFmtId="0" fontId="1" fillId="0" borderId="11" xfId="0" applyFont="1" applyBorder="1" applyAlignment="1" applyProtection="1">
      <alignment horizontal="right" vertical="top" wrapText="1"/>
    </xf>
    <xf numFmtId="0" fontId="0" fillId="0" borderId="0" xfId="0" applyAlignment="1" applyProtection="1">
      <alignment horizontal="center" vertical="top"/>
    </xf>
    <xf numFmtId="0" fontId="5" fillId="0" borderId="0" xfId="0" applyFont="1" applyAlignment="1" applyProtection="1">
      <alignment horizontal="right" vertical="center"/>
    </xf>
    <xf numFmtId="2" fontId="5" fillId="0" borderId="0" xfId="0" applyNumberFormat="1" applyFont="1" applyAlignment="1" applyProtection="1">
      <alignment horizontal="right" vertical="center"/>
    </xf>
    <xf numFmtId="0" fontId="3" fillId="0" borderId="0" xfId="0" applyFont="1" applyProtection="1"/>
    <xf numFmtId="2" fontId="5" fillId="0" borderId="1" xfId="0" applyNumberFormat="1" applyFont="1" applyBorder="1" applyAlignment="1" applyProtection="1">
      <alignment horizontal="right" vertical="center"/>
    </xf>
    <xf numFmtId="2" fontId="5" fillId="0" borderId="0" xfId="0" applyNumberFormat="1" applyFont="1" applyBorder="1" applyAlignment="1" applyProtection="1">
      <alignment horizontal="right" vertical="center"/>
    </xf>
    <xf numFmtId="0" fontId="5" fillId="0" borderId="0" xfId="0" applyFont="1" applyBorder="1" applyProtection="1"/>
    <xf numFmtId="2" fontId="5" fillId="0" borderId="0" xfId="0" applyNumberFormat="1" applyFont="1" applyBorder="1" applyProtection="1"/>
    <xf numFmtId="0" fontId="5" fillId="0" borderId="20" xfId="0" applyFont="1" applyBorder="1" applyAlignment="1" applyProtection="1">
      <alignment horizontal="center"/>
    </xf>
    <xf numFmtId="0" fontId="5" fillId="0" borderId="23" xfId="0" applyFont="1" applyBorder="1" applyProtection="1"/>
    <xf numFmtId="2" fontId="5" fillId="0" borderId="12" xfId="0" applyNumberFormat="1" applyFont="1" applyBorder="1" applyProtection="1"/>
    <xf numFmtId="2" fontId="5" fillId="0" borderId="24" xfId="0" applyNumberFormat="1" applyFont="1" applyBorder="1" applyProtection="1"/>
    <xf numFmtId="0" fontId="5" fillId="0" borderId="12" xfId="0" applyFont="1" applyBorder="1" applyProtection="1"/>
    <xf numFmtId="0" fontId="5" fillId="0" borderId="24" xfId="0" applyFont="1" applyBorder="1" applyProtection="1"/>
    <xf numFmtId="0" fontId="5" fillId="0" borderId="21" xfId="0" applyFont="1" applyBorder="1" applyProtection="1"/>
    <xf numFmtId="0" fontId="5" fillId="0" borderId="25" xfId="0" applyFont="1" applyBorder="1" applyProtection="1"/>
    <xf numFmtId="2" fontId="5" fillId="0" borderId="19" xfId="0" applyNumberFormat="1" applyFont="1" applyBorder="1" applyProtection="1"/>
    <xf numFmtId="0" fontId="5" fillId="0" borderId="19" xfId="0" applyFont="1" applyBorder="1" applyProtection="1"/>
    <xf numFmtId="2" fontId="3" fillId="0" borderId="1" xfId="0" applyNumberFormat="1" applyFont="1" applyBorder="1" applyAlignment="1" applyProtection="1">
      <alignment horizontal="right" vertical="center"/>
    </xf>
    <xf numFmtId="2" fontId="3" fillId="0" borderId="0" xfId="0" applyNumberFormat="1" applyFont="1" applyBorder="1" applyAlignment="1" applyProtection="1">
      <alignment horizontal="right" vertical="center"/>
    </xf>
    <xf numFmtId="0" fontId="5" fillId="0" borderId="22" xfId="0" applyFont="1" applyBorder="1" applyProtection="1"/>
    <xf numFmtId="2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top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Alignment="1" applyProtection="1">
      <alignment horizontal="right"/>
      <protection locked="0"/>
    </xf>
    <xf numFmtId="0" fontId="1" fillId="2" borderId="0" xfId="0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left" vertical="center"/>
    </xf>
    <xf numFmtId="2" fontId="0" fillId="9" borderId="0" xfId="0" applyNumberFormat="1" applyFill="1" applyAlignment="1">
      <alignment horizontal="center" vertical="center"/>
    </xf>
    <xf numFmtId="2" fontId="1" fillId="2" borderId="0" xfId="0" applyNumberFormat="1" applyFont="1" applyFill="1" applyAlignment="1">
      <alignment horizontal="right" vertical="center"/>
    </xf>
    <xf numFmtId="2" fontId="0" fillId="0" borderId="1" xfId="0" applyNumberFormat="1" applyBorder="1"/>
    <xf numFmtId="0" fontId="1" fillId="11" borderId="33" xfId="0" applyFont="1" applyFill="1" applyBorder="1"/>
    <xf numFmtId="0" fontId="1" fillId="11" borderId="34" xfId="0" applyFont="1" applyFill="1" applyBorder="1" applyAlignment="1">
      <alignment horizontal="center" vertical="center"/>
    </xf>
    <xf numFmtId="2" fontId="1" fillId="11" borderId="35" xfId="0" applyNumberFormat="1" applyFont="1" applyFill="1" applyBorder="1"/>
    <xf numFmtId="0" fontId="0" fillId="0" borderId="2" xfId="0" applyBorder="1"/>
    <xf numFmtId="0" fontId="0" fillId="0" borderId="3" xfId="0" applyBorder="1" applyAlignment="1">
      <alignment horizontal="center" vertical="center"/>
    </xf>
    <xf numFmtId="2" fontId="0" fillId="0" borderId="4" xfId="0" applyNumberFormat="1" applyBorder="1"/>
    <xf numFmtId="2" fontId="0" fillId="0" borderId="14" xfId="0" applyNumberFormat="1" applyBorder="1"/>
    <xf numFmtId="4" fontId="0" fillId="0" borderId="0" xfId="0" applyNumberFormat="1"/>
    <xf numFmtId="2" fontId="7" fillId="0" borderId="0" xfId="0" applyNumberFormat="1" applyFont="1" applyBorder="1" applyAlignment="1" applyProtection="1">
      <alignment vertical="center"/>
    </xf>
    <xf numFmtId="2" fontId="5" fillId="0" borderId="0" xfId="0" applyNumberFormat="1" applyFont="1" applyAlignment="1" applyProtection="1">
      <alignment vertical="center"/>
    </xf>
    <xf numFmtId="2" fontId="5" fillId="0" borderId="0" xfId="0" applyNumberFormat="1" applyFont="1" applyAlignment="1" applyProtection="1"/>
    <xf numFmtId="4" fontId="1" fillId="6" borderId="8" xfId="0" applyNumberFormat="1" applyFont="1" applyFill="1" applyBorder="1" applyProtection="1">
      <protection locked="0"/>
    </xf>
    <xf numFmtId="0" fontId="9" fillId="0" borderId="0" xfId="0" applyFont="1"/>
    <xf numFmtId="0" fontId="8" fillId="0" borderId="0" xfId="0" applyFont="1" applyBorder="1" applyAlignment="1">
      <alignment horizontal="right" vertical="center"/>
    </xf>
    <xf numFmtId="0" fontId="8" fillId="0" borderId="17" xfId="0" applyFont="1" applyBorder="1" applyAlignment="1">
      <alignment horizontal="right" vertical="center"/>
    </xf>
    <xf numFmtId="0" fontId="8" fillId="0" borderId="13" xfId="0" applyFont="1" applyBorder="1" applyAlignment="1">
      <alignment vertical="center"/>
    </xf>
    <xf numFmtId="0" fontId="8" fillId="0" borderId="13" xfId="0" applyFont="1" applyBorder="1" applyAlignment="1">
      <alignment horizontal="right" vertical="center"/>
    </xf>
    <xf numFmtId="0" fontId="8" fillId="0" borderId="17" xfId="0" applyFont="1" applyBorder="1" applyAlignment="1">
      <alignment vertical="center"/>
    </xf>
    <xf numFmtId="2" fontId="8" fillId="0" borderId="13" xfId="0" applyNumberFormat="1" applyFont="1" applyBorder="1" applyAlignment="1">
      <alignment vertical="center"/>
    </xf>
    <xf numFmtId="2" fontId="8" fillId="0" borderId="36" xfId="0" applyNumberFormat="1" applyFont="1" applyBorder="1" applyAlignment="1">
      <alignment vertical="center"/>
    </xf>
    <xf numFmtId="2" fontId="8" fillId="0" borderId="0" xfId="0" applyNumberFormat="1" applyFont="1" applyBorder="1" applyAlignment="1">
      <alignment horizontal="right" vertical="center"/>
    </xf>
    <xf numFmtId="164" fontId="0" fillId="6" borderId="0" xfId="0" applyNumberFormat="1" applyFill="1" applyAlignment="1" applyProtection="1">
      <alignment horizontal="right" vertical="center"/>
      <protection locked="0"/>
    </xf>
    <xf numFmtId="0" fontId="0" fillId="6" borderId="0" xfId="0" applyFill="1" applyAlignment="1" applyProtection="1">
      <alignment horizontal="right" vertical="center"/>
      <protection locked="0"/>
    </xf>
    <xf numFmtId="0" fontId="1" fillId="2" borderId="11" xfId="0" applyFont="1" applyFill="1" applyBorder="1" applyProtection="1"/>
    <xf numFmtId="0" fontId="1" fillId="2" borderId="1" xfId="0" applyFont="1" applyFill="1" applyBorder="1" applyProtection="1"/>
    <xf numFmtId="0" fontId="0" fillId="0" borderId="13" xfId="0" applyBorder="1" applyProtection="1"/>
    <xf numFmtId="0" fontId="0" fillId="0" borderId="1" xfId="0" applyBorder="1" applyProtection="1"/>
    <xf numFmtId="0" fontId="0" fillId="0" borderId="12" xfId="0" applyBorder="1" applyProtection="1"/>
    <xf numFmtId="0" fontId="9" fillId="0" borderId="0" xfId="0" applyFont="1" applyAlignment="1" applyProtection="1">
      <alignment horizontal="left" vertical="center"/>
    </xf>
    <xf numFmtId="2" fontId="1" fillId="2" borderId="8" xfId="0" applyNumberFormat="1" applyFont="1" applyFill="1" applyBorder="1" applyAlignment="1">
      <alignment horizontal="center" vertical="center"/>
    </xf>
    <xf numFmtId="2" fontId="0" fillId="0" borderId="22" xfId="0" applyNumberFormat="1" applyBorder="1" applyProtection="1">
      <protection locked="0"/>
    </xf>
    <xf numFmtId="2" fontId="0" fillId="6" borderId="8" xfId="0" applyNumberFormat="1" applyFont="1" applyFill="1" applyBorder="1" applyProtection="1">
      <protection locked="0"/>
    </xf>
    <xf numFmtId="2" fontId="1" fillId="6" borderId="8" xfId="0" applyNumberFormat="1" applyFont="1" applyFill="1" applyBorder="1" applyProtection="1">
      <protection locked="0"/>
    </xf>
    <xf numFmtId="2" fontId="1" fillId="2" borderId="8" xfId="0" applyNumberFormat="1" applyFont="1" applyFill="1" applyBorder="1" applyAlignment="1">
      <alignment horizontal="center" vertical="center" wrapText="1"/>
    </xf>
    <xf numFmtId="2" fontId="0" fillId="0" borderId="14" xfId="0" applyNumberFormat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8" fillId="0" borderId="0" xfId="0" applyNumberFormat="1" applyFont="1" applyBorder="1" applyAlignment="1" applyProtection="1">
      <alignment horizontal="right" vertical="center"/>
    </xf>
    <xf numFmtId="2" fontId="8" fillId="0" borderId="0" xfId="0" applyNumberFormat="1" applyFont="1" applyBorder="1" applyAlignment="1" applyProtection="1">
      <alignment vertical="center"/>
    </xf>
    <xf numFmtId="2" fontId="5" fillId="0" borderId="22" xfId="0" applyNumberFormat="1" applyFont="1" applyBorder="1" applyAlignment="1" applyProtection="1">
      <alignment horizontal="right" vertical="center"/>
    </xf>
    <xf numFmtId="0" fontId="1" fillId="2" borderId="18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12" borderId="18" xfId="0" applyFont="1" applyFill="1" applyBorder="1" applyAlignment="1">
      <alignment horizontal="left" vertical="center" wrapText="1"/>
    </xf>
    <xf numFmtId="0" fontId="1" fillId="12" borderId="10" xfId="0" applyFont="1" applyFill="1" applyBorder="1" applyAlignment="1">
      <alignment horizontal="left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left" vertical="center" wrapText="1"/>
    </xf>
    <xf numFmtId="0" fontId="1" fillId="8" borderId="10" xfId="0" applyFont="1" applyFill="1" applyBorder="1" applyAlignment="1">
      <alignment horizontal="left" vertical="center" wrapText="1"/>
    </xf>
    <xf numFmtId="0" fontId="1" fillId="3" borderId="18" xfId="0" applyFont="1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left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2" fontId="3" fillId="0" borderId="0" xfId="0" applyNumberFormat="1" applyFont="1" applyAlignment="1" applyProtection="1">
      <alignment horizontal="right" vertical="center"/>
    </xf>
    <xf numFmtId="2" fontId="3" fillId="0" borderId="19" xfId="0" applyNumberFormat="1" applyFont="1" applyBorder="1" applyAlignment="1" applyProtection="1">
      <alignment horizontal="right" vertical="center"/>
    </xf>
    <xf numFmtId="0" fontId="5" fillId="0" borderId="26" xfId="0" applyFont="1" applyBorder="1" applyAlignment="1" applyProtection="1">
      <alignment horizontal="center" vertical="top"/>
    </xf>
    <xf numFmtId="0" fontId="5" fillId="0" borderId="11" xfId="0" applyFont="1" applyBorder="1" applyAlignment="1" applyProtection="1">
      <alignment horizontal="center" vertical="top"/>
    </xf>
    <xf numFmtId="0" fontId="5" fillId="0" borderId="27" xfId="0" applyFont="1" applyBorder="1" applyAlignment="1" applyProtection="1">
      <alignment horizontal="center" vertical="top"/>
    </xf>
    <xf numFmtId="0" fontId="6" fillId="0" borderId="0" xfId="0" applyFont="1" applyAlignment="1" applyProtection="1">
      <alignment horizontal="left"/>
    </xf>
    <xf numFmtId="0" fontId="3" fillId="0" borderId="0" xfId="0" applyFont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39" xfId="0" applyFont="1" applyBorder="1" applyProtection="1"/>
    <xf numFmtId="0" fontId="5" fillId="0" borderId="40" xfId="0" applyFont="1" applyBorder="1" applyProtection="1"/>
    <xf numFmtId="2" fontId="5" fillId="0" borderId="40" xfId="0" applyNumberFormat="1" applyFont="1" applyBorder="1" applyProtection="1"/>
    <xf numFmtId="2" fontId="7" fillId="0" borderId="40" xfId="0" applyNumberFormat="1" applyFont="1" applyBorder="1" applyAlignment="1" applyProtection="1"/>
    <xf numFmtId="2" fontId="8" fillId="0" borderId="40" xfId="0" applyNumberFormat="1" applyFont="1" applyBorder="1" applyAlignment="1" applyProtection="1">
      <alignment horizontal="right" vertical="center"/>
    </xf>
    <xf numFmtId="2" fontId="8" fillId="0" borderId="41" xfId="0" applyNumberFormat="1" applyFont="1" applyBorder="1" applyAlignment="1" applyProtection="1">
      <alignment horizontal="right" vertical="center"/>
    </xf>
    <xf numFmtId="0" fontId="6" fillId="0" borderId="37" xfId="0" applyFont="1" applyBorder="1" applyAlignment="1" applyProtection="1">
      <alignment horizontal="left"/>
    </xf>
    <xf numFmtId="0" fontId="6" fillId="0" borderId="38" xfId="0" applyFont="1" applyBorder="1" applyAlignment="1" applyProtection="1">
      <alignment horizontal="left"/>
    </xf>
    <xf numFmtId="2" fontId="5" fillId="0" borderId="38" xfId="0" applyNumberFormat="1" applyFont="1" applyBorder="1" applyAlignment="1" applyProtection="1">
      <alignment horizontal="right" vertical="center"/>
    </xf>
    <xf numFmtId="2" fontId="5" fillId="0" borderId="42" xfId="0" applyNumberFormat="1" applyFont="1" applyBorder="1" applyAlignment="1" applyProtection="1">
      <alignment horizontal="right" vertical="center"/>
    </xf>
    <xf numFmtId="2" fontId="1" fillId="0" borderId="0" xfId="0" applyNumberFormat="1" applyFont="1"/>
  </cellXfs>
  <cellStyles count="1">
    <cellStyle name="Normal" xfId="0" builtinId="0"/>
  </cellStyles>
  <dxfs count="18">
    <dxf>
      <border diagonalUp="0" diagonalDown="0">
        <left/>
        <right/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protection locked="1" hidden="0"/>
    </dxf>
    <dxf>
      <fill>
        <patternFill>
          <bgColor theme="7" tint="0.59996337778862885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1</xdr:row>
          <xdr:rowOff>175260</xdr:rowOff>
        </xdr:from>
        <xdr:to>
          <xdr:col>15</xdr:col>
          <xdr:colOff>685800</xdr:colOff>
          <xdr:row>3</xdr:row>
          <xdr:rowOff>45720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</xdr:row>
          <xdr:rowOff>175260</xdr:rowOff>
        </xdr:from>
        <xdr:to>
          <xdr:col>12</xdr:col>
          <xdr:colOff>541020</xdr:colOff>
          <xdr:row>3</xdr:row>
          <xdr:rowOff>45720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175260</xdr:rowOff>
        </xdr:from>
        <xdr:to>
          <xdr:col>7</xdr:col>
          <xdr:colOff>594360</xdr:colOff>
          <xdr:row>3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1</xdr:row>
          <xdr:rowOff>160020</xdr:rowOff>
        </xdr:from>
        <xdr:to>
          <xdr:col>15</xdr:col>
          <xdr:colOff>647700</xdr:colOff>
          <xdr:row>3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1</xdr:row>
          <xdr:rowOff>160020</xdr:rowOff>
        </xdr:from>
        <xdr:to>
          <xdr:col>13</xdr:col>
          <xdr:colOff>541020</xdr:colOff>
          <xdr:row>3</xdr:row>
          <xdr:rowOff>38100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144780</xdr:colOff>
          <xdr:row>1</xdr:row>
          <xdr:rowOff>160020</xdr:rowOff>
        </xdr:from>
        <xdr:to>
          <xdr:col>11</xdr:col>
          <xdr:colOff>457200</xdr:colOff>
          <xdr:row>3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2312843</xdr:colOff>
          <xdr:row>0</xdr:row>
          <xdr:rowOff>95250</xdr:rowOff>
        </xdr:from>
        <xdr:to>
          <xdr:col>11</xdr:col>
          <xdr:colOff>1342159</xdr:colOff>
          <xdr:row>7</xdr:row>
          <xdr:rowOff>158461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9607261" y="95250"/>
              <a:ext cx="1571625" cy="1323975"/>
              <a:chOff x="9572625" y="95250"/>
              <a:chExt cx="1571625" cy="1323975"/>
            </a:xfrm>
          </xdr:grpSpPr>
          <xdr:sp macro="" textlink="">
            <xdr:nvSpPr>
              <xdr:cNvPr id="5123" name="Group Box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300-000003140000}"/>
                  </a:ext>
                </a:extLst>
              </xdr:cNvPr>
              <xdr:cNvSpPr/>
            </xdr:nvSpPr>
            <xdr:spPr bwMode="auto">
              <a:xfrm>
                <a:off x="9572625" y="95250"/>
                <a:ext cx="1571625" cy="1323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ADD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00000000-0008-0000-0300-000002000000}"/>
                  </a:ext>
                </a:extLst>
              </xdr:cNvPr>
              <xdr:cNvGrpSpPr/>
            </xdr:nvGrpSpPr>
            <xdr:grpSpPr>
              <a:xfrm>
                <a:off x="9858375" y="342900"/>
                <a:ext cx="990600" cy="828675"/>
                <a:chOff x="9858375" y="342900"/>
                <a:chExt cx="990600" cy="828675"/>
              </a:xfrm>
            </xdr:grpSpPr>
            <xdr:sp macro="" textlink="">
              <xdr:nvSpPr>
                <xdr:cNvPr id="5124" name="Button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300-000004140000}"/>
                    </a:ext>
                  </a:extLst>
                </xdr:cNvPr>
                <xdr:cNvSpPr/>
              </xdr:nvSpPr>
              <xdr:spPr bwMode="auto">
                <a:xfrm>
                  <a:off x="9858375" y="3429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Invoice</a:t>
                  </a:r>
                </a:p>
              </xdr:txBody>
            </xdr:sp>
            <xdr:sp macro="" textlink="">
              <xdr:nvSpPr>
                <xdr:cNvPr id="5125" name="Button 5" hidden="1">
                  <a:extLst>
                    <a:ext uri="{63B3BB69-23CF-44E3-9099-C40C66FF867C}">
                      <a14:compatExt spid="_x0000_s5125"/>
                    </a:ext>
                    <a:ext uri="{FF2B5EF4-FFF2-40B4-BE49-F238E27FC236}">
                      <a16:creationId xmlns:a16="http://schemas.microsoft.com/office/drawing/2014/main" id="{00000000-0008-0000-0300-000005140000}"/>
                    </a:ext>
                  </a:extLst>
                </xdr:cNvPr>
                <xdr:cNvSpPr/>
              </xdr:nvSpPr>
              <xdr:spPr bwMode="auto">
                <a:xfrm>
                  <a:off x="9858375" y="876300"/>
                  <a:ext cx="990600" cy="295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n-IN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to Update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10</xdr:col>
      <xdr:colOff>66675</xdr:colOff>
      <xdr:row>13</xdr:row>
      <xdr:rowOff>0</xdr:rowOff>
    </xdr:to>
    <xdr:sp macro="" textlink="">
      <xdr:nvSpPr>
        <xdr:cNvPr id="9218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02240000}"/>
            </a:ext>
          </a:extLst>
        </xdr:cNvPr>
        <xdr:cNvSpPr>
          <a:spLocks/>
        </xdr:cNvSpPr>
      </xdr:nvSpPr>
      <xdr:spPr bwMode="auto">
        <a:xfrm>
          <a:off x="0" y="1"/>
          <a:ext cx="7448550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0</xdr:col>
      <xdr:colOff>95250</xdr:colOff>
      <xdr:row>0</xdr:row>
      <xdr:rowOff>114299</xdr:rowOff>
    </xdr:from>
    <xdr:to>
      <xdr:col>9</xdr:col>
      <xdr:colOff>571500</xdr:colOff>
      <xdr:row>10</xdr:row>
      <xdr:rowOff>161924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99822" y="115823"/>
          <a:ext cx="7257263" cy="1943612"/>
          <a:chOff x="95250" y="114299"/>
          <a:chExt cx="7219950" cy="19907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95250" y="114299"/>
            <a:ext cx="1323975" cy="561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837927" y="948653"/>
            <a:ext cx="3204854" cy="11563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DBOI Global Services Pvt. Ltd.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Pune, Maharashtra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+91 20 7124 9000</a:t>
            </a:r>
          </a:p>
          <a:p>
            <a:endParaRPr lang="en-I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N/A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6004882" y="628650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6004883" y="83261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0001005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6014408" y="1183025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5634727" y="1377278"/>
            <a:ext cx="1680473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04 October, 2018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1504851" y="167931"/>
            <a:ext cx="3981549" cy="4797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ARATI VENTURES  </a:t>
            </a:r>
            <a:endParaRPr lang="en-US" sz="105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</a:t>
            </a: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1107</a:t>
            </a: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 KALPATARU</a:t>
            </a: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HARMONY</a:t>
            </a:r>
            <a:r>
              <a:rPr lang="en-IN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WAKAD</a:t>
            </a:r>
            <a:r>
              <a:rPr lang="en-IN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PUNE +91 9986035149</a:t>
            </a:r>
            <a:endParaRPr lang="en-IN" sz="1000">
              <a:effectLst/>
            </a:endParaRPr>
          </a:p>
          <a:p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104676" y="948653"/>
            <a:ext cx="748145" cy="11373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no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GSTIN: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0</xdr:colOff>
      <xdr:row>51</xdr:row>
      <xdr:rowOff>95249</xdr:rowOff>
    </xdr:from>
    <xdr:to>
      <xdr:col>11</xdr:col>
      <xdr:colOff>0</xdr:colOff>
      <xdr:row>55</xdr:row>
      <xdr:rowOff>182878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0" y="9876592"/>
          <a:ext cx="7523316" cy="828326"/>
          <a:chOff x="0" y="10125074"/>
          <a:chExt cx="7429500" cy="857249"/>
        </a:xfrm>
      </xdr:grpSpPr>
      <xdr:sp macro="" textlink="">
        <xdr:nvSpPr>
          <xdr:cNvPr id="92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0124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</a:t>
            </a:r>
            <a:r>
              <a:rPr lang="en-IN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Arati Ventures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 txBox="1"/>
        </xdr:nvSpPr>
        <xdr:spPr>
          <a:xfrm>
            <a:off x="0" y="10572750"/>
            <a:ext cx="4132518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</xdr:col>
      <xdr:colOff>619125</xdr:colOff>
      <xdr:row>0</xdr:row>
      <xdr:rowOff>76201</xdr:rowOff>
    </xdr:from>
    <xdr:to>
      <xdr:col>9</xdr:col>
      <xdr:colOff>567367</xdr:colOff>
      <xdr:row>2</xdr:row>
      <xdr:rowOff>83707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6010275" y="76201"/>
          <a:ext cx="1300792" cy="388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200" b="1"/>
            <a:t>GSTIN</a:t>
          </a:r>
        </a:p>
      </xdr:txBody>
    </xdr:sp>
    <xdr:clientData/>
  </xdr:twoCellAnchor>
  <xdr:twoCellAnchor>
    <xdr:from>
      <xdr:col>7</xdr:col>
      <xdr:colOff>333375</xdr:colOff>
      <xdr:row>1</xdr:row>
      <xdr:rowOff>89669</xdr:rowOff>
    </xdr:from>
    <xdr:to>
      <xdr:col>9</xdr:col>
      <xdr:colOff>567368</xdr:colOff>
      <xdr:row>3</xdr:row>
      <xdr:rowOff>49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5724525" y="280169"/>
          <a:ext cx="1586543" cy="2913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100" b="0"/>
            <a:t>N/A</a:t>
          </a:r>
        </a:p>
      </xdr:txBody>
    </xdr:sp>
    <xdr:clientData/>
  </xdr:twoCellAnchor>
  <xdr:twoCellAnchor>
    <xdr:from>
      <xdr:col>11</xdr:col>
      <xdr:colOff>19050</xdr:colOff>
      <xdr:row>0</xdr:row>
      <xdr:rowOff>1</xdr:rowOff>
    </xdr:from>
    <xdr:to>
      <xdr:col>21</xdr:col>
      <xdr:colOff>66675</xdr:colOff>
      <xdr:row>13</xdr:row>
      <xdr:rowOff>0</xdr:rowOff>
    </xdr:to>
    <xdr:sp macro="" textlink="">
      <xdr:nvSpPr>
        <xdr:cNvPr id="89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>
          <a:off x="7562850" y="1"/>
          <a:ext cx="7448550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11</xdr:col>
      <xdr:colOff>95250</xdr:colOff>
      <xdr:row>0</xdr:row>
      <xdr:rowOff>114299</xdr:rowOff>
    </xdr:from>
    <xdr:to>
      <xdr:col>20</xdr:col>
      <xdr:colOff>571500</xdr:colOff>
      <xdr:row>10</xdr:row>
      <xdr:rowOff>161924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/>
      </xdr:nvGrpSpPr>
      <xdr:grpSpPr>
        <a:xfrm>
          <a:off x="7623138" y="115823"/>
          <a:ext cx="7216296" cy="1943612"/>
          <a:chOff x="95250" y="114299"/>
          <a:chExt cx="7219950" cy="1990725"/>
        </a:xfrm>
      </xdr:grpSpPr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95250" y="114299"/>
            <a:ext cx="1323975" cy="561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INVOICE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837927" y="948653"/>
            <a:ext cx="3204854" cy="11563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New Sachdeva Bros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5-B, N.K. Mukherji Marg, Allahabad, U.P.</a:t>
            </a: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999999999</a:t>
            </a:r>
          </a:p>
          <a:p>
            <a:endParaRPr lang="en-I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09AAGFN3952Q1ZJ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6004882" y="628650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INVOICE NO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6004883" y="83261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0000002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6014408" y="1183025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DATE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6014408" y="1377278"/>
            <a:ext cx="1300792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01 May, 2018</a:t>
            </a:r>
          </a:p>
        </xdr:txBody>
      </xdr:sp>
      <xdr:sp macro="" textlink="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 txBox="1"/>
        </xdr:nvSpPr>
        <xdr:spPr>
          <a:xfrm>
            <a:off x="1504851" y="167931"/>
            <a:ext cx="3981549" cy="4797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ARATI VENTURES  </a:t>
            </a:r>
            <a:endParaRPr lang="en-US" sz="105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eaLnBrk="1" fontAlgn="auto" latinLnBrk="0" hangingPunct="1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1107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 KALPATARU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HARMONY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WAKAD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PUNE +91 9986035149</a:t>
            </a:r>
            <a:endParaRPr lang="en-IN" sz="1000">
              <a:effectLst/>
            </a:endParaRPr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SpPr txBox="1"/>
        </xdr:nvSpPr>
        <xdr:spPr>
          <a:xfrm>
            <a:off x="104676" y="948653"/>
            <a:ext cx="748145" cy="11373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no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GSTIN: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0</xdr:colOff>
      <xdr:row>51</xdr:row>
      <xdr:rowOff>95249</xdr:rowOff>
    </xdr:from>
    <xdr:to>
      <xdr:col>22</xdr:col>
      <xdr:colOff>0</xdr:colOff>
      <xdr:row>55</xdr:row>
      <xdr:rowOff>182878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GrpSpPr/>
      </xdr:nvGrpSpPr>
      <xdr:grpSpPr>
        <a:xfrm>
          <a:off x="7523316" y="9876592"/>
          <a:ext cx="7443019" cy="828326"/>
          <a:chOff x="0" y="10125074"/>
          <a:chExt cx="7429500" cy="857249"/>
        </a:xfrm>
      </xdr:grpSpPr>
      <xdr:sp macro="" textlink="">
        <xdr:nvSpPr>
          <xdr:cNvPr id="10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0" y="10572750"/>
            <a:ext cx="4273673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Page 1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18</xdr:col>
      <xdr:colOff>619125</xdr:colOff>
      <xdr:row>0</xdr:row>
      <xdr:rowOff>76201</xdr:rowOff>
    </xdr:from>
    <xdr:to>
      <xdr:col>20</xdr:col>
      <xdr:colOff>567367</xdr:colOff>
      <xdr:row>2</xdr:row>
      <xdr:rowOff>83707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6010275" y="76201"/>
          <a:ext cx="1300792" cy="388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200" b="1"/>
            <a:t>GSTIN</a:t>
          </a:r>
        </a:p>
      </xdr:txBody>
    </xdr:sp>
    <xdr:clientData/>
  </xdr:twoCellAnchor>
  <xdr:twoCellAnchor>
    <xdr:from>
      <xdr:col>18</xdr:col>
      <xdr:colOff>333375</xdr:colOff>
      <xdr:row>1</xdr:row>
      <xdr:rowOff>89669</xdr:rowOff>
    </xdr:from>
    <xdr:to>
      <xdr:col>20</xdr:col>
      <xdr:colOff>567368</xdr:colOff>
      <xdr:row>3</xdr:row>
      <xdr:rowOff>49</xdr:rowOff>
    </xdr:to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 txBox="1"/>
      </xdr:nvSpPr>
      <xdr:spPr>
        <a:xfrm>
          <a:off x="5724525" y="280169"/>
          <a:ext cx="1586543" cy="2913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IN" sz="1100" b="0"/>
            <a:t>N/A</a:t>
          </a:r>
        </a:p>
      </xdr:txBody>
    </xdr:sp>
    <xdr:clientData/>
  </xdr:twoCellAnchor>
  <xdr:twoCellAnchor>
    <xdr:from>
      <xdr:col>22</xdr:col>
      <xdr:colOff>19050</xdr:colOff>
      <xdr:row>0</xdr:row>
      <xdr:rowOff>1</xdr:rowOff>
    </xdr:from>
    <xdr:to>
      <xdr:col>32</xdr:col>
      <xdr:colOff>66675</xdr:colOff>
      <xdr:row>13</xdr:row>
      <xdr:rowOff>0</xdr:rowOff>
    </xdr:to>
    <xdr:sp macro="" textlink="">
      <xdr:nvSpPr>
        <xdr:cNvPr id="106" name="Freeform: Shape 2" descr="shape with green and blue gradient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/>
        </xdr:cNvSpPr>
      </xdr:nvSpPr>
      <xdr:spPr bwMode="auto">
        <a:xfrm>
          <a:off x="15039975" y="1"/>
          <a:ext cx="74580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22</xdr:col>
      <xdr:colOff>0</xdr:colOff>
      <xdr:row>51</xdr:row>
      <xdr:rowOff>95249</xdr:rowOff>
    </xdr:from>
    <xdr:to>
      <xdr:col>33</xdr:col>
      <xdr:colOff>0</xdr:colOff>
      <xdr:row>55</xdr:row>
      <xdr:rowOff>182878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GrpSpPr/>
      </xdr:nvGrpSpPr>
      <xdr:grpSpPr>
        <a:xfrm>
          <a:off x="14966335" y="9876592"/>
          <a:ext cx="7547897" cy="828326"/>
          <a:chOff x="0" y="10125074"/>
          <a:chExt cx="7429500" cy="857249"/>
        </a:xfrm>
      </xdr:grpSpPr>
      <xdr:sp macro="" textlink="">
        <xdr:nvSpPr>
          <xdr:cNvPr id="1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>
            <a:spLocks/>
          </xdr:cNvSpPr>
        </xdr:nvSpPr>
        <xdr:spPr bwMode="auto">
          <a:xfrm rot="10800000">
            <a:off x="0" y="10125074"/>
            <a:ext cx="7429500" cy="857249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 txBox="1"/>
        </xdr:nvSpPr>
        <xdr:spPr>
          <a:xfrm>
            <a:off x="4505325" y="10258425"/>
            <a:ext cx="2719068" cy="3333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</a:t>
            </a:r>
            <a:r>
              <a:rPr lang="en-IN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Arati Ventures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SpPr txBox="1"/>
        </xdr:nvSpPr>
        <xdr:spPr>
          <a:xfrm>
            <a:off x="0" y="10572750"/>
            <a:ext cx="4480214" cy="400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Notes:</a:t>
            </a:r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Tax Not applicable as per sec (20) of IGST Act and sec (23)(2) of CGST Act</a:t>
            </a:r>
          </a:p>
          <a:p>
            <a:r>
              <a:rPr lang="en-IN" sz="9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E. &amp; O.E.</a:t>
            </a:r>
            <a:endParaRPr lang="en-IN" sz="9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6553200" y="10706099"/>
            <a:ext cx="742950" cy="2000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9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Signature</a:t>
            </a:r>
            <a:endParaRPr lang="en-IN" sz="9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22</xdr:col>
      <xdr:colOff>95250</xdr:colOff>
      <xdr:row>0</xdr:row>
      <xdr:rowOff>76201</xdr:rowOff>
    </xdr:from>
    <xdr:to>
      <xdr:col>31</xdr:col>
      <xdr:colOff>571500</xdr:colOff>
      <xdr:row>10</xdr:row>
      <xdr:rowOff>161924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5066157" y="76201"/>
          <a:ext cx="7304786" cy="1983234"/>
          <a:chOff x="15116175" y="76201"/>
          <a:chExt cx="7219950" cy="2028823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GrpSpPr/>
        </xdr:nvGrpSpPr>
        <xdr:grpSpPr>
          <a:xfrm>
            <a:off x="15116175" y="114299"/>
            <a:ext cx="7219950" cy="1990725"/>
            <a:chOff x="15049500" y="114299"/>
            <a:chExt cx="7219950" cy="1990725"/>
          </a:xfrm>
        </xdr:grpSpPr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600-00006C000000}"/>
                </a:ext>
              </a:extLst>
            </xdr:cNvPr>
            <xdr:cNvSpPr txBox="1"/>
          </xdr:nvSpPr>
          <xdr:spPr>
            <a:xfrm>
              <a:off x="15049500" y="114299"/>
              <a:ext cx="1323975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2400" b="1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INVOICE</a:t>
              </a:r>
            </a:p>
          </xdr:txBody>
        </xdr: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 txBox="1"/>
          </xdr:nvSpPr>
          <xdr:spPr>
            <a:xfrm>
              <a:off x="15792177" y="948653"/>
              <a:ext cx="3204854" cy="11563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New Sachdeva Bros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5-B, N.K. Mukherji Marg, Allahabad, U.P.</a:t>
              </a: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999999999</a:t>
              </a:r>
            </a:p>
            <a:p>
              <a:endPara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09AAGFN3952Q1ZJ</a:t>
              </a:r>
            </a:p>
          </xdr:txBody>
        </xdr:sp>
        <xdr:sp macro="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SpPr txBox="1"/>
          </xdr:nvSpPr>
          <xdr:spPr>
            <a:xfrm>
              <a:off x="20959132" y="628650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INVOICE NO</a:t>
              </a:r>
            </a:p>
          </xdr:txBody>
        </xdr:sp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 txBox="1"/>
          </xdr:nvSpPr>
          <xdr:spPr>
            <a:xfrm>
              <a:off x="20959133" y="832618"/>
              <a:ext cx="1300792" cy="291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0000002</a:t>
              </a: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 txBox="1"/>
          </xdr:nvSpPr>
          <xdr:spPr>
            <a:xfrm>
              <a:off x="20968658" y="1183025"/>
              <a:ext cx="1300792" cy="3885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200" b="1"/>
                <a:t>DATE</a:t>
              </a:r>
            </a:p>
          </xdr:txBody>
        </xdr: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20968658" y="1377278"/>
              <a:ext cx="1300792" cy="2913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IN" sz="1100" b="0"/>
                <a:t>01 May, 2018</a:t>
              </a:r>
            </a:p>
          </xdr:txBody>
        </xdr:sp>
        <xdr:sp macro="" textlink="">
          <xdr:nvSpPr>
            <xdr:cNvPr id="114" name="TextBox 113"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 txBox="1"/>
          </xdr:nvSpPr>
          <xdr:spPr>
            <a:xfrm>
              <a:off x="16459101" y="167931"/>
              <a:ext cx="3981549" cy="479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ARATI VENTURES  </a:t>
              </a:r>
              <a:endParaRPr lang="en-US" sz="105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eaLnBrk="1" fontAlgn="auto" latinLnBrk="0" hangingPunct="1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1107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KALPATARU</a:t>
              </a:r>
              <a:r>
                <a:rPr lang="en-US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HARMONY</a:t>
              </a:r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en-IN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WAKAD</a:t>
              </a:r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en-IN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PUNE +91 9986035149</a:t>
              </a:r>
              <a:endParaRPr lang="en-IN" sz="1000">
                <a:effectLst/>
              </a:endParaRPr>
            </a:p>
          </xdr:txBody>
        </xdr:sp>
        <xdr:sp macro="" textlink="">
          <xdr:nvSpPr>
            <xdr:cNvPr id="115" name="TextBox 114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 txBox="1"/>
          </xdr:nvSpPr>
          <xdr:spPr>
            <a:xfrm>
              <a:off x="15058926" y="948653"/>
              <a:ext cx="748145" cy="11373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Ins="0" rtlCol="0" anchor="t">
              <a:noAutofit/>
            </a:bodyPr>
            <a:lstStyle/>
            <a:p>
              <a:pPr algn="r"/>
              <a:r>
                <a:rPr lang="en-IN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Customer</a:t>
              </a:r>
              <a:r>
                <a:rPr lang="en-IN" sz="1100" b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:</a:t>
              </a:r>
              <a:endPara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IN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Address :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Phone :</a:t>
              </a:r>
            </a:p>
            <a:p>
              <a:pPr algn="r"/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r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GSTIN: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 txBox="1"/>
        </xdr:nvSpPr>
        <xdr:spPr>
          <a:xfrm>
            <a:off x="21031200" y="76201"/>
            <a:ext cx="1300792" cy="388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1"/>
              <a:t>GSTIN</a:t>
            </a:r>
          </a:p>
        </xdr:txBody>
      </xdr: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 txBox="1"/>
        </xdr:nvSpPr>
        <xdr:spPr>
          <a:xfrm>
            <a:off x="20745450" y="280169"/>
            <a:ext cx="1586543" cy="2913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100" b="0"/>
              <a:t>N/A</a:t>
            </a:r>
          </a:p>
        </xdr:txBody>
      </xdr:sp>
    </xdr:grpSp>
    <xdr:clientData/>
  </xdr:twoCellAnchor>
  <xdr:twoCellAnchor>
    <xdr:from>
      <xdr:col>3</xdr:col>
      <xdr:colOff>620474</xdr:colOff>
      <xdr:row>7</xdr:row>
      <xdr:rowOff>21773</xdr:rowOff>
    </xdr:from>
    <xdr:to>
      <xdr:col>7</xdr:col>
      <xdr:colOff>123366</xdr:colOff>
      <xdr:row>8</xdr:row>
      <xdr:rowOff>181679</xdr:rowOff>
    </xdr:to>
    <xdr:sp macro="" textlink="">
      <xdr:nvSpPr>
        <xdr:cNvPr id="52" name="TextBox 51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 rot="21153740">
          <a:off x="3763724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  <xdr:twoCellAnchor>
    <xdr:from>
      <xdr:col>14</xdr:col>
      <xdr:colOff>632733</xdr:colOff>
      <xdr:row>7</xdr:row>
      <xdr:rowOff>21773</xdr:rowOff>
    </xdr:from>
    <xdr:to>
      <xdr:col>18</xdr:col>
      <xdr:colOff>135625</xdr:colOff>
      <xdr:row>8</xdr:row>
      <xdr:rowOff>181679</xdr:rowOff>
    </xdr:to>
    <xdr:sp macro="" textlink="">
      <xdr:nvSpPr>
        <xdr:cNvPr id="55" name="TextBox 54" hidden="1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 rot="21153740">
          <a:off x="11253108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</a:t>
          </a:r>
          <a:r>
            <a:rPr lang="en-IN" sz="1600" b="1" baseline="0">
              <a:solidFill>
                <a:srgbClr val="FF0000"/>
              </a:solidFill>
            </a:rPr>
            <a:t> COPY</a:t>
          </a:r>
          <a:endParaRPr lang="en-IN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25</xdr:col>
      <xdr:colOff>632732</xdr:colOff>
      <xdr:row>7</xdr:row>
      <xdr:rowOff>21773</xdr:rowOff>
    </xdr:from>
    <xdr:to>
      <xdr:col>29</xdr:col>
      <xdr:colOff>135624</xdr:colOff>
      <xdr:row>8</xdr:row>
      <xdr:rowOff>181679</xdr:rowOff>
    </xdr:to>
    <xdr:sp macro="" textlink="">
      <xdr:nvSpPr>
        <xdr:cNvPr id="56" name="TextBox 55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 rot="21153740">
          <a:off x="18730232" y="1355273"/>
          <a:ext cx="1750792" cy="38850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IN" sz="1600" b="1">
              <a:solidFill>
                <a:srgbClr val="FF0000"/>
              </a:solidFill>
            </a:rPr>
            <a:t>DUPLICATE COPY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1</xdr:row>
          <xdr:rowOff>175260</xdr:rowOff>
        </xdr:from>
        <xdr:to>
          <xdr:col>4</xdr:col>
          <xdr:colOff>685800</xdr:colOff>
          <xdr:row>3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10</xdr:col>
      <xdr:colOff>0</xdr:colOff>
      <xdr:row>13</xdr:row>
      <xdr:rowOff>0</xdr:rowOff>
    </xdr:to>
    <xdr:sp macro="" textlink="">
      <xdr:nvSpPr>
        <xdr:cNvPr id="2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/>
        </xdr:cNvSpPr>
      </xdr:nvSpPr>
      <xdr:spPr bwMode="auto">
        <a:xfrm>
          <a:off x="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0</xdr:col>
      <xdr:colOff>0</xdr:colOff>
      <xdr:row>51</xdr:row>
      <xdr:rowOff>123825</xdr:rowOff>
    </xdr:from>
    <xdr:to>
      <xdr:col>10</xdr:col>
      <xdr:colOff>0</xdr:colOff>
      <xdr:row>55</xdr:row>
      <xdr:rowOff>180975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0" y="10153650"/>
          <a:ext cx="7534275" cy="819150"/>
          <a:chOff x="0" y="10058400"/>
          <a:chExt cx="7534275" cy="819150"/>
        </a:xfrm>
      </xdr:grpSpPr>
      <xdr:sp macro="" textlink="">
        <xdr:nvSpPr>
          <xdr:cNvPr id="4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104775</xdr:colOff>
      <xdr:row>0</xdr:row>
      <xdr:rowOff>161925</xdr:rowOff>
    </xdr:from>
    <xdr:to>
      <xdr:col>9</xdr:col>
      <xdr:colOff>638175</xdr:colOff>
      <xdr:row>11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104775" y="161925"/>
          <a:ext cx="7324725" cy="1971675"/>
          <a:chOff x="104775" y="161925"/>
          <a:chExt cx="7324725" cy="193357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</a:p>
          <a:p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1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</a:t>
            </a:r>
          </a:p>
          <a:p>
            <a:endParaRPr lang="en-IN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</a:p>
          <a:p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123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456789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20-MAY-2018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0</xdr:colOff>
      <xdr:row>0</xdr:row>
      <xdr:rowOff>1</xdr:rowOff>
    </xdr:from>
    <xdr:to>
      <xdr:col>20</xdr:col>
      <xdr:colOff>0</xdr:colOff>
      <xdr:row>13</xdr:row>
      <xdr:rowOff>0</xdr:rowOff>
    </xdr:to>
    <xdr:sp macro="" textlink="">
      <xdr:nvSpPr>
        <xdr:cNvPr id="15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/>
        </xdr:cNvSpPr>
      </xdr:nvSpPr>
      <xdr:spPr bwMode="auto">
        <a:xfrm>
          <a:off x="7534275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10</xdr:col>
      <xdr:colOff>0</xdr:colOff>
      <xdr:row>51</xdr:row>
      <xdr:rowOff>123825</xdr:rowOff>
    </xdr:from>
    <xdr:to>
      <xdr:col>20</xdr:col>
      <xdr:colOff>0</xdr:colOff>
      <xdr:row>55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pSpPr/>
      </xdr:nvGrpSpPr>
      <xdr:grpSpPr>
        <a:xfrm>
          <a:off x="7534275" y="10153650"/>
          <a:ext cx="7534275" cy="819150"/>
          <a:chOff x="0" y="10058400"/>
          <a:chExt cx="7534275" cy="819150"/>
        </a:xfrm>
      </xdr:grpSpPr>
      <xdr:sp macro="" textlink="">
        <xdr:nvSpPr>
          <xdr:cNvPr id="17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104775</xdr:colOff>
      <xdr:row>0</xdr:row>
      <xdr:rowOff>161925</xdr:rowOff>
    </xdr:from>
    <xdr:to>
      <xdr:col>19</xdr:col>
      <xdr:colOff>638175</xdr:colOff>
      <xdr:row>11</xdr:row>
      <xdr:rowOff>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GrpSpPr/>
      </xdr:nvGrpSpPr>
      <xdr:grpSpPr>
        <a:xfrm>
          <a:off x="7639050" y="161925"/>
          <a:ext cx="7324725" cy="1971675"/>
          <a:chOff x="104775" y="161925"/>
          <a:chExt cx="7324725" cy="193357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0</xdr:colOff>
      <xdr:row>0</xdr:row>
      <xdr:rowOff>1</xdr:rowOff>
    </xdr:from>
    <xdr:to>
      <xdr:col>30</xdr:col>
      <xdr:colOff>0</xdr:colOff>
      <xdr:row>13</xdr:row>
      <xdr:rowOff>0</xdr:rowOff>
    </xdr:to>
    <xdr:sp macro="" textlink="">
      <xdr:nvSpPr>
        <xdr:cNvPr id="28" name="Freeform: Shape 2" descr="shape with green and blue gradient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/>
        </xdr:cNvSpPr>
      </xdr:nvSpPr>
      <xdr:spPr bwMode="auto">
        <a:xfrm>
          <a:off x="15068550" y="1"/>
          <a:ext cx="7534275" cy="2514599"/>
        </a:xfrm>
        <a:custGeom>
          <a:avLst/>
          <a:gdLst>
            <a:gd name="T0" fmla="*/ 0 w 7738110"/>
            <a:gd name="T1" fmla="*/ 0 h 2906395"/>
            <a:gd name="T2" fmla="*/ 7953375 w 7738110"/>
            <a:gd name="T3" fmla="*/ 0 h 2906395"/>
            <a:gd name="T4" fmla="*/ 7953375 w 7738110"/>
            <a:gd name="T5" fmla="*/ 2013721 h 2906395"/>
            <a:gd name="T6" fmla="*/ 0 w 7738110"/>
            <a:gd name="T7" fmla="*/ 3086100 h 2906395"/>
            <a:gd name="T8" fmla="*/ 0 w 7738110"/>
            <a:gd name="T9" fmla="*/ 0 h 290639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7738110"/>
            <a:gd name="T16" fmla="*/ 0 h 2906395"/>
            <a:gd name="T17" fmla="*/ 7738110 w 7738110"/>
            <a:gd name="T18" fmla="*/ 2906395 h 290639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7738110" h="2906395">
              <a:moveTo>
                <a:pt x="0" y="0"/>
              </a:moveTo>
              <a:lnTo>
                <a:pt x="7738110" y="0"/>
              </a:lnTo>
              <a:lnTo>
                <a:pt x="7738110" y="1896461"/>
              </a:lnTo>
              <a:lnTo>
                <a:pt x="0" y="2906395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9EDFBE"/>
            </a:gs>
            <a:gs pos="100000">
              <a:srgbClr val="4EB3CF"/>
            </a:gs>
          </a:gsLst>
          <a:lin ang="1920000"/>
        </a:gradFill>
        <a:ln>
          <a:noFill/>
        </a:ln>
        <a:extLst>
          <a:ext uri="{91240B29-F687-4F45-9708-019B960494DF}">
            <a14:hiddenLine xmlns:a14="http://schemas.microsoft.com/office/drawing/2010/main" w="254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900" b="0" i="0" u="none" strike="noStrike" baseline="0">
              <a:solidFill>
                <a:srgbClr val="262626"/>
              </a:solidFill>
              <a:latin typeface="Verdana"/>
              <a:ea typeface="Verdana"/>
              <a:cs typeface="Verdana"/>
            </a:rPr>
            <a:t> </a:t>
          </a:r>
        </a:p>
      </xdr:txBody>
    </xdr:sp>
    <xdr:clientData/>
  </xdr:twoCellAnchor>
  <xdr:twoCellAnchor>
    <xdr:from>
      <xdr:col>20</xdr:col>
      <xdr:colOff>0</xdr:colOff>
      <xdr:row>51</xdr:row>
      <xdr:rowOff>123825</xdr:rowOff>
    </xdr:from>
    <xdr:to>
      <xdr:col>30</xdr:col>
      <xdr:colOff>0</xdr:colOff>
      <xdr:row>55</xdr:row>
      <xdr:rowOff>180975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GrpSpPr/>
      </xdr:nvGrpSpPr>
      <xdr:grpSpPr>
        <a:xfrm>
          <a:off x="15068550" y="10153650"/>
          <a:ext cx="7534275" cy="819150"/>
          <a:chOff x="0" y="10058400"/>
          <a:chExt cx="7534275" cy="819150"/>
        </a:xfrm>
      </xdr:grpSpPr>
      <xdr:sp macro="" textlink="">
        <xdr:nvSpPr>
          <xdr:cNvPr id="30" name="Freeform: Shape 6" descr="shape with green and blue gradient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 bwMode="auto">
          <a:xfrm rot="10800000">
            <a:off x="0" y="10058400"/>
            <a:ext cx="7534275" cy="819150"/>
          </a:xfrm>
          <a:custGeom>
            <a:avLst/>
            <a:gdLst>
              <a:gd name="T0" fmla="*/ 0 w 7738110"/>
              <a:gd name="T1" fmla="*/ 0 h 2906395"/>
              <a:gd name="T2" fmla="*/ 7968615 w 7738110"/>
              <a:gd name="T3" fmla="*/ 0 h 2906395"/>
              <a:gd name="T4" fmla="*/ 7968615 w 7738110"/>
              <a:gd name="T5" fmla="*/ 372911 h 2906395"/>
              <a:gd name="T6" fmla="*/ 0 w 7738110"/>
              <a:gd name="T7" fmla="*/ 571500 h 2906395"/>
              <a:gd name="T8" fmla="*/ 0 w 7738110"/>
              <a:gd name="T9" fmla="*/ 0 h 290639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738110"/>
              <a:gd name="T16" fmla="*/ 0 h 2906395"/>
              <a:gd name="T17" fmla="*/ 7738110 w 7738110"/>
              <a:gd name="T18" fmla="*/ 2906395 h 290639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738110" h="2906395">
                <a:moveTo>
                  <a:pt x="0" y="0"/>
                </a:moveTo>
                <a:lnTo>
                  <a:pt x="7738110" y="0"/>
                </a:lnTo>
                <a:lnTo>
                  <a:pt x="7738110" y="1896461"/>
                </a:lnTo>
                <a:lnTo>
                  <a:pt x="0" y="2906395"/>
                </a:lnTo>
                <a:lnTo>
                  <a:pt x="0" y="0"/>
                </a:lnTo>
                <a:close/>
              </a:path>
            </a:pathLst>
          </a:custGeom>
          <a:gradFill rotWithShape="1">
            <a:gsLst>
              <a:gs pos="0">
                <a:srgbClr val="9EDFBE"/>
              </a:gs>
              <a:gs pos="100000">
                <a:srgbClr val="4EB3CF"/>
              </a:gs>
            </a:gsLst>
            <a:lin ang="1920000"/>
          </a:gradFill>
          <a:ln>
            <a:noFill/>
          </a:ln>
          <a:extLst>
            <a:ext uri="{91240B29-F687-4F45-9708-019B960494DF}">
              <a14:hiddenLine xmlns:a14="http://schemas.microsoft.com/office/drawing/2010/main" w="2540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IN" sz="900" b="0" i="0" u="none" strike="noStrike" baseline="0">
                <a:solidFill>
                  <a:srgbClr val="262626"/>
                </a:solidFill>
                <a:latin typeface="Verdana"/>
                <a:ea typeface="Verdana"/>
                <a:cs typeface="Verdana"/>
              </a:rPr>
              <a:t> 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 txBox="1"/>
        </xdr:nvSpPr>
        <xdr:spPr>
          <a:xfrm>
            <a:off x="104775" y="10372725"/>
            <a:ext cx="3105150" cy="468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  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,</a:t>
            </a:r>
            <a:r>
              <a:rPr lang="en-IN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[Phone]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20</xdr:col>
      <xdr:colOff>104775</xdr:colOff>
      <xdr:row>0</xdr:row>
      <xdr:rowOff>161925</xdr:rowOff>
    </xdr:from>
    <xdr:to>
      <xdr:col>29</xdr:col>
      <xdr:colOff>638175</xdr:colOff>
      <xdr:row>11</xdr:row>
      <xdr:rowOff>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15173325" y="161925"/>
          <a:ext cx="7324725" cy="1971675"/>
          <a:chOff x="104775" y="161925"/>
          <a:chExt cx="7324725" cy="1933575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 txBox="1"/>
        </xdr:nvSpPr>
        <xdr:spPr>
          <a:xfrm>
            <a:off x="104775" y="161925"/>
            <a:ext cx="1809750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000" b="1"/>
              <a:t>INVOICE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 txBox="1"/>
        </xdr:nvSpPr>
        <xdr:spPr>
          <a:xfrm>
            <a:off x="1038224" y="933450"/>
            <a:ext cx="3238501" cy="1162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[CUSTOMER]                          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4D/1, DRUMMON ROAD,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ALLAHABAD</a:t>
            </a: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9604584259</a:t>
            </a:r>
          </a:p>
          <a:p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GST1234567890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 txBox="1"/>
        </xdr:nvSpPr>
        <xdr:spPr>
          <a:xfrm>
            <a:off x="6115050" y="171450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INVOICE NO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 txBox="1"/>
        </xdr:nvSpPr>
        <xdr:spPr>
          <a:xfrm>
            <a:off x="6115051" y="361951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000001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 txBox="1"/>
        </xdr:nvSpPr>
        <xdr:spPr>
          <a:xfrm>
            <a:off x="6115051" y="742951"/>
            <a:ext cx="1314449" cy="3809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400" b="1"/>
              <a:t>DATE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 txBox="1"/>
        </xdr:nvSpPr>
        <xdr:spPr>
          <a:xfrm>
            <a:off x="6115051" y="933450"/>
            <a:ext cx="1314449" cy="2857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r>
              <a:rPr lang="en-IN" sz="1200" b="0"/>
              <a:t>14-APR-2018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 txBox="1"/>
        </xdr:nvSpPr>
        <xdr:spPr>
          <a:xfrm>
            <a:off x="104775" y="466725"/>
            <a:ext cx="1866329" cy="30479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SILVERLINE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 txBox="1"/>
        </xdr:nvSpPr>
        <xdr:spPr>
          <a:xfrm>
            <a:off x="104775" y="933450"/>
            <a:ext cx="756000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Ins="0" rtlCol="0" anchor="t">
            <a:spAutoFit/>
          </a:bodyPr>
          <a:lstStyle/>
          <a:p>
            <a:pPr algn="r"/>
            <a:r>
              <a:rPr lang="en-IN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Customer</a:t>
            </a:r>
            <a:r>
              <a:rPr lang="en-IN" sz="1100" b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:</a:t>
            </a:r>
            <a:endParaRPr lang="en-IN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Address :</a:t>
            </a:r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Phone :</a:t>
            </a:r>
          </a:p>
          <a:p>
            <a:pPr algn="r"/>
            <a:endPara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TIN : 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algn="r"/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GST:</a:t>
            </a:r>
            <a:endParaRPr lang="en-I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J1:J1000" totalsRowShown="0" headerRowDxfId="17">
  <autoFilter ref="J1:J1000" xr:uid="{00000000-0009-0000-0100-000001000000}"/>
  <tableColumns count="1">
    <tableColumn id="1" xr3:uid="{00000000-0010-0000-0000-000001000000}" name="Helper" dataDxfId="16">
      <calculatedColumnFormula>IF(B2 &lt;&gt; "",(IF(C2&lt;&gt;"",CONCATENATE(A2, " ", B2,"  - ",C2,IF(D2&lt;&gt;"","/",""),D2),CONCATENATE(A2, " ",B2,IF(D2&lt;&gt;"","  - ",""),D2))),"")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A10" totalsRowShown="0" headerRowDxfId="14" dataDxfId="12" headerRowBorderDxfId="13" tableBorderDxfId="11" totalsRowBorderDxfId="10">
  <autoFilter ref="A1:A10" xr:uid="{00000000-0009-0000-0100-000003000000}"/>
  <tableColumns count="1">
    <tableColumn id="1" xr3:uid="{00000000-0010-0000-0100-000001000000}" name="Tax Nam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" displayName="Table1" ref="A1:A3" totalsRowShown="0" headerRowDxfId="5" dataDxfId="3" headerRowBorderDxfId="4" tableBorderDxfId="2" totalsRowBorderDxfId="1">
  <autoFilter ref="A1:A3" xr:uid="{00000000-0009-0000-0100-000002000000}"/>
  <tableColumns count="1">
    <tableColumn id="1" xr3:uid="{00000000-0010-0000-0200-000001000000}" name="Customer Nam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9"/>
  <sheetViews>
    <sheetView showGridLines="0" tabSelected="1" zoomScale="110" zoomScaleNormal="110" workbookViewId="0">
      <selection activeCell="E48" sqref="E48"/>
    </sheetView>
  </sheetViews>
  <sheetFormatPr defaultRowHeight="14.4" x14ac:dyDescent="0.3"/>
  <cols>
    <col min="1" max="1" width="4.109375" bestFit="1" customWidth="1"/>
    <col min="2" max="2" width="34.109375" customWidth="1"/>
    <col min="3" max="3" width="10.33203125" customWidth="1"/>
    <col min="4" max="4" width="11.88671875" style="19" bestFit="1" customWidth="1"/>
    <col min="5" max="5" width="8.88671875" customWidth="1"/>
    <col min="6" max="6" width="7" bestFit="1" customWidth="1"/>
    <col min="7" max="7" width="8.6640625" style="19" customWidth="1"/>
    <col min="8" max="8" width="11.5546875" style="9" customWidth="1"/>
    <col min="9" max="9" width="7.55468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44140625" style="19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12">
        <v>1005</v>
      </c>
      <c r="C2" s="3" t="s">
        <v>46</v>
      </c>
      <c r="F2" s="7"/>
      <c r="G2" s="36"/>
      <c r="H2" s="73"/>
      <c r="I2" s="36"/>
      <c r="J2" s="36"/>
      <c r="K2" s="35"/>
      <c r="L2" s="37"/>
      <c r="M2" s="37"/>
      <c r="N2" s="37"/>
      <c r="O2" s="37"/>
      <c r="P2" s="37"/>
    </row>
    <row r="3" spans="1:16" x14ac:dyDescent="0.3">
      <c r="B3" s="113">
        <v>43377</v>
      </c>
      <c r="C3" s="3" t="s">
        <v>47</v>
      </c>
      <c r="F3" s="7"/>
      <c r="G3" s="36"/>
      <c r="H3" s="73"/>
      <c r="I3" s="36"/>
      <c r="J3" s="36"/>
      <c r="K3" s="35"/>
      <c r="L3" s="37"/>
      <c r="M3" s="37"/>
      <c r="N3" s="37"/>
      <c r="O3" s="37"/>
      <c r="P3" s="37"/>
    </row>
    <row r="4" spans="1:16" x14ac:dyDescent="0.3">
      <c r="B4" s="114" t="s">
        <v>146</v>
      </c>
      <c r="C4" s="3" t="s">
        <v>13</v>
      </c>
      <c r="F4" s="7"/>
      <c r="G4" s="36"/>
      <c r="H4" s="73"/>
      <c r="I4" s="36"/>
      <c r="J4" s="36"/>
      <c r="K4" s="35"/>
      <c r="L4" s="37"/>
      <c r="M4" s="37"/>
      <c r="N4" s="37"/>
      <c r="O4" s="37"/>
      <c r="P4" s="37"/>
    </row>
    <row r="5" spans="1:16" ht="15" thickBot="1" x14ac:dyDescent="0.35">
      <c r="F5" s="13"/>
      <c r="G5" s="35"/>
      <c r="H5" s="74"/>
      <c r="I5" s="35"/>
      <c r="J5" s="35"/>
      <c r="K5" s="35"/>
      <c r="L5" s="35"/>
      <c r="M5" s="35"/>
    </row>
    <row r="6" spans="1:16" ht="29.4" thickBot="1" x14ac:dyDescent="0.35">
      <c r="A6" s="54" t="s">
        <v>39</v>
      </c>
      <c r="B6" s="55" t="s">
        <v>0</v>
      </c>
      <c r="C6" s="55" t="s">
        <v>12</v>
      </c>
      <c r="D6" s="149" t="s">
        <v>1</v>
      </c>
      <c r="E6" s="55" t="s">
        <v>2</v>
      </c>
      <c r="F6" s="56" t="s">
        <v>4</v>
      </c>
      <c r="G6" s="153" t="s">
        <v>5</v>
      </c>
      <c r="H6" s="56" t="s">
        <v>30</v>
      </c>
      <c r="I6" s="153" t="s">
        <v>6</v>
      </c>
      <c r="J6" s="57" t="s">
        <v>7</v>
      </c>
      <c r="K6" s="57" t="s">
        <v>8</v>
      </c>
      <c r="L6" s="57" t="s">
        <v>38</v>
      </c>
      <c r="M6" s="58" t="s">
        <v>3</v>
      </c>
      <c r="N6" s="57" t="s">
        <v>53</v>
      </c>
      <c r="O6" s="59" t="s">
        <v>9</v>
      </c>
      <c r="P6" s="60" t="s">
        <v>10</v>
      </c>
    </row>
    <row r="7" spans="1:16" x14ac:dyDescent="0.3">
      <c r="A7" s="49">
        <v>1</v>
      </c>
      <c r="B7" s="50" t="s">
        <v>141</v>
      </c>
      <c r="C7" s="50">
        <f>IFERROR(INDEX(Items!B$1:H$1000,MATCH(B7,Items!J$1:J$1000,0),4),"")</f>
        <v>0</v>
      </c>
      <c r="D7" s="150">
        <f>IFERROR(INDEX(Items!B$1:H$1000,MATCH(B7,Items!J$1:J$1000,0),5),0)</f>
        <v>25</v>
      </c>
      <c r="E7" s="50">
        <v>40</v>
      </c>
      <c r="F7" s="50">
        <f>IFERROR(INDEX(Items!B$1:H$1000,MATCH(B7,Items!J$1:J$1000,0),6),0)</f>
        <v>0</v>
      </c>
      <c r="G7" s="150">
        <v>10</v>
      </c>
      <c r="H7" s="75" t="str">
        <f>IFERROR(INDEX(Items!B$1:H$1000,MATCH(B7,Items!J$1:J$1000,0),7),"Exempted")</f>
        <v>Exempted</v>
      </c>
      <c r="I7" s="51">
        <f>IFERROR(INDEX('Tax Rates'!A$1:F$20,MATCH(H7,'Tax Rates'!A$1:A$20,0),2),0)</f>
        <v>0</v>
      </c>
      <c r="J7" s="51">
        <f>D7*((100-F7)/100)*(G7/100)</f>
        <v>2.5</v>
      </c>
      <c r="K7" s="51">
        <f>D7*((100-F7)/100)</f>
        <v>25</v>
      </c>
      <c r="L7" s="51">
        <f>K7-J7</f>
        <v>22.5</v>
      </c>
      <c r="M7" s="51">
        <f>L7/((100+I7)/100)</f>
        <v>22.5</v>
      </c>
      <c r="N7" s="51">
        <f>(I7/100)*M7</f>
        <v>0</v>
      </c>
      <c r="O7" s="52">
        <f>(I7/100)*M7*E7</f>
        <v>0</v>
      </c>
      <c r="P7" s="53">
        <f>M7*E7</f>
        <v>900</v>
      </c>
    </row>
    <row r="8" spans="1:16" x14ac:dyDescent="0.3">
      <c r="A8" s="12">
        <v>2</v>
      </c>
      <c r="B8" s="1"/>
      <c r="C8" s="50" t="str">
        <f>IFERROR(INDEX(Items!B$1:H$1000,MATCH(B8,Items!J$1:J$1000,0),4),"")</f>
        <v/>
      </c>
      <c r="D8" s="150">
        <f>IFERROR(INDEX(Items!B$1:H$1000,MATCH(B8,Items!J$1:J$1000,0),5),0)</f>
        <v>0</v>
      </c>
      <c r="E8" s="50"/>
      <c r="F8" s="50">
        <f>IFERROR(INDEX(Items!B$1:H$1000,MATCH(B8,Items!J$1:J$1000,0),6),0)</f>
        <v>0</v>
      </c>
      <c r="G8" s="68"/>
      <c r="H8" s="75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51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50" t="str">
        <f>IFERROR(INDEX(Items!B$1:H$1000,MATCH(B9,Items!J$1:J$1000,0),4),"")</f>
        <v/>
      </c>
      <c r="D9" s="150">
        <f>IFERROR(INDEX(Items!B$1:H$1000,MATCH(B9,Items!J$1:J$1000,0),5),0)</f>
        <v>0</v>
      </c>
      <c r="E9" s="50"/>
      <c r="F9" s="50">
        <f>IFERROR(INDEX(Items!B$1:H$1000,MATCH(B9,Items!J$1:J$1000,0),6),0)</f>
        <v>0</v>
      </c>
      <c r="G9" s="68"/>
      <c r="H9" s="75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38" si="6">D9*((100-F9)/100)*(G9/100)</f>
        <v>0</v>
      </c>
      <c r="K9" s="51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50" t="str">
        <f>IFERROR(INDEX(Items!B$1:H$1000,MATCH(B10,Items!J$1:J$1000,0),4),"")</f>
        <v/>
      </c>
      <c r="D10" s="150">
        <f>IFERROR(INDEX(Items!B$1:H$1000,MATCH(B10,Items!J$1:J$1000,0),5),0)</f>
        <v>0</v>
      </c>
      <c r="E10" s="50"/>
      <c r="F10" s="50">
        <f>IFERROR(INDEX(Items!B$1:H$1000,MATCH(B10,Items!J$1:J$1000,0),6),0)</f>
        <v>0</v>
      </c>
      <c r="G10" s="68"/>
      <c r="H10" s="75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51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50" t="str">
        <f>IFERROR(INDEX(Items!B$1:H$1000,MATCH(B11,Items!J$1:J$1000,0),4),"")</f>
        <v/>
      </c>
      <c r="D11" s="150">
        <f>IFERROR(INDEX(Items!B$1:H$1000,MATCH(B11,Items!J$1:J$1000,0),5),0)</f>
        <v>0</v>
      </c>
      <c r="E11" s="50"/>
      <c r="F11" s="50">
        <f>IFERROR(INDEX(Items!B$1:H$1000,MATCH(B11,Items!J$1:J$1000,0),6),0)</f>
        <v>0</v>
      </c>
      <c r="G11" s="68"/>
      <c r="H11" s="75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51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50" t="str">
        <f>IFERROR(INDEX(Items!B$1:H$1000,MATCH(B12,Items!J$1:J$1000,0),4),"")</f>
        <v/>
      </c>
      <c r="D12" s="150">
        <f>IFERROR(INDEX(Items!B$1:H$1000,MATCH(B12,Items!J$1:J$1000,0),5),0)</f>
        <v>0</v>
      </c>
      <c r="E12" s="50"/>
      <c r="F12" s="50">
        <f>IFERROR(INDEX(Items!B$1:H$1000,MATCH(B12,Items!J$1:J$1000,0),6),0)</f>
        <v>0</v>
      </c>
      <c r="G12" s="68"/>
      <c r="H12" s="75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51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50" t="str">
        <f>IFERROR(INDEX(Items!B$1:H$1000,MATCH(B13,Items!J$1:J$1000,0),4),"")</f>
        <v/>
      </c>
      <c r="D13" s="150">
        <f>IFERROR(INDEX(Items!B$1:H$1000,MATCH(B13,Items!J$1:J$1000,0),5),0)</f>
        <v>0</v>
      </c>
      <c r="E13" s="50"/>
      <c r="F13" s="50">
        <f>IFERROR(INDEX(Items!B$1:H$1000,MATCH(B13,Items!J$1:J$1000,0),6),0)</f>
        <v>0</v>
      </c>
      <c r="G13" s="68"/>
      <c r="H13" s="75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51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50" t="str">
        <f>IFERROR(INDEX(Items!B$1:H$1000,MATCH(B14,Items!J$1:J$1000,0),4),"")</f>
        <v/>
      </c>
      <c r="D14" s="150">
        <f>IFERROR(INDEX(Items!B$1:H$1000,MATCH(B14,Items!J$1:J$1000,0),5),0)</f>
        <v>0</v>
      </c>
      <c r="E14" s="50"/>
      <c r="F14" s="50">
        <f>IFERROR(INDEX(Items!B$1:H$1000,MATCH(B14,Items!J$1:J$1000,0),6),0)</f>
        <v>0</v>
      </c>
      <c r="G14" s="68"/>
      <c r="H14" s="75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51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50" t="str">
        <f>IFERROR(INDEX(Items!B$1:H$1000,MATCH(B15,Items!J$1:J$1000,0),4),"")</f>
        <v/>
      </c>
      <c r="D15" s="150">
        <f>IFERROR(INDEX(Items!B$1:H$1000,MATCH(B15,Items!J$1:J$1000,0),5),0)</f>
        <v>0</v>
      </c>
      <c r="E15" s="50"/>
      <c r="F15" s="50">
        <f>IFERROR(INDEX(Items!B$1:H$1000,MATCH(B15,Items!J$1:J$1000,0),6),0)</f>
        <v>0</v>
      </c>
      <c r="G15" s="68"/>
      <c r="H15" s="75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51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50" t="str">
        <f>IFERROR(INDEX(Items!B$1:H$1000,MATCH(B16,Items!J$1:J$1000,0),4),"")</f>
        <v/>
      </c>
      <c r="D16" s="150">
        <f>IFERROR(INDEX(Items!B$1:H$1000,MATCH(B16,Items!J$1:J$1000,0),5),0)</f>
        <v>0</v>
      </c>
      <c r="E16" s="50"/>
      <c r="F16" s="50">
        <f>IFERROR(INDEX(Items!B$1:H$1000,MATCH(B16,Items!J$1:J$1000,0),6),0)</f>
        <v>0</v>
      </c>
      <c r="G16" s="68"/>
      <c r="H16" s="75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51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50" t="str">
        <f>IFERROR(INDEX(Items!B$1:H$1000,MATCH(B17,Items!J$1:J$1000,0),4),"")</f>
        <v/>
      </c>
      <c r="D17" s="150">
        <f>IFERROR(INDEX(Items!B$1:H$1000,MATCH(B17,Items!J$1:J$1000,0),5),0)</f>
        <v>0</v>
      </c>
      <c r="E17" s="50"/>
      <c r="F17" s="50">
        <f>IFERROR(INDEX(Items!B$1:H$1000,MATCH(B17,Items!J$1:J$1000,0),6),0)</f>
        <v>0</v>
      </c>
      <c r="G17" s="68"/>
      <c r="H17" s="75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51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50" t="str">
        <f>IFERROR(INDEX(Items!B$1:H$1000,MATCH(B18,Items!J$1:J$1000,0),4),"")</f>
        <v/>
      </c>
      <c r="D18" s="150">
        <f>IFERROR(INDEX(Items!B$1:H$1000,MATCH(B18,Items!J$1:J$1000,0),5),0)</f>
        <v>0</v>
      </c>
      <c r="E18" s="50"/>
      <c r="F18" s="50">
        <f>IFERROR(INDEX(Items!B$1:H$1000,MATCH(B18,Items!J$1:J$1000,0),6),0)</f>
        <v>0</v>
      </c>
      <c r="G18" s="68"/>
      <c r="H18" s="75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51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50" t="str">
        <f>IFERROR(INDEX(Items!B$1:H$1000,MATCH(B19,Items!J$1:J$1000,0),4),"")</f>
        <v/>
      </c>
      <c r="D19" s="150">
        <f>IFERROR(INDEX(Items!B$1:H$1000,MATCH(B19,Items!J$1:J$1000,0),5),0)</f>
        <v>0</v>
      </c>
      <c r="E19" s="50"/>
      <c r="F19" s="50">
        <f>IFERROR(INDEX(Items!B$1:H$1000,MATCH(B19,Items!J$1:J$1000,0),6),0)</f>
        <v>0</v>
      </c>
      <c r="G19" s="68"/>
      <c r="H19" s="75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51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50" t="str">
        <f>IFERROR(INDEX(Items!B$1:H$1000,MATCH(B20,Items!J$1:J$1000,0),4),"")</f>
        <v/>
      </c>
      <c r="D20" s="150">
        <f>IFERROR(INDEX(Items!B$1:H$1000,MATCH(B20,Items!J$1:J$1000,0),5),0)</f>
        <v>0</v>
      </c>
      <c r="E20" s="50"/>
      <c r="F20" s="50">
        <f>IFERROR(INDEX(Items!B$1:H$1000,MATCH(B20,Items!J$1:J$1000,0),6),0)</f>
        <v>0</v>
      </c>
      <c r="G20" s="68"/>
      <c r="H20" s="75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51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50" t="str">
        <f>IFERROR(INDEX(Items!B$1:H$1000,MATCH(B21,Items!J$1:J$1000,0),4),"")</f>
        <v/>
      </c>
      <c r="D21" s="150">
        <f>IFERROR(INDEX(Items!B$1:H$1000,MATCH(B21,Items!J$1:J$1000,0),5),0)</f>
        <v>0</v>
      </c>
      <c r="E21" s="50"/>
      <c r="F21" s="50">
        <f>IFERROR(INDEX(Items!B$1:H$1000,MATCH(B21,Items!J$1:J$1000,0),6),0)</f>
        <v>0</v>
      </c>
      <c r="G21" s="68"/>
      <c r="H21" s="75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51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50" t="str">
        <f>IFERROR(INDEX(Items!B$1:H$1000,MATCH(B22,Items!J$1:J$1000,0),4),"")</f>
        <v/>
      </c>
      <c r="D22" s="150">
        <f>IFERROR(INDEX(Items!B$1:H$1000,MATCH(B22,Items!J$1:J$1000,0),5),0)</f>
        <v>0</v>
      </c>
      <c r="E22" s="50"/>
      <c r="F22" s="50">
        <f>IFERROR(INDEX(Items!B$1:H$1000,MATCH(B22,Items!J$1:J$1000,0),6),0)</f>
        <v>0</v>
      </c>
      <c r="G22" s="68"/>
      <c r="H22" s="75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51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50" t="str">
        <f>IFERROR(INDEX(Items!B$1:H$1000,MATCH(B23,Items!J$1:J$1000,0),4),"")</f>
        <v/>
      </c>
      <c r="D23" s="150">
        <f>IFERROR(INDEX(Items!B$1:H$1000,MATCH(B23,Items!J$1:J$1000,0),5),0)</f>
        <v>0</v>
      </c>
      <c r="E23" s="50"/>
      <c r="F23" s="50">
        <f>IFERROR(INDEX(Items!B$1:H$1000,MATCH(B23,Items!J$1:J$1000,0),6),0)</f>
        <v>0</v>
      </c>
      <c r="G23" s="68"/>
      <c r="H23" s="75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51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50" t="str">
        <f>IFERROR(INDEX(Items!B$1:H$1000,MATCH(B24,Items!J$1:J$1000,0),4),"")</f>
        <v/>
      </c>
      <c r="D24" s="150">
        <f>IFERROR(INDEX(Items!B$1:H$1000,MATCH(B24,Items!J$1:J$1000,0),5),0)</f>
        <v>0</v>
      </c>
      <c r="E24" s="50"/>
      <c r="F24" s="50">
        <f>IFERROR(INDEX(Items!B$1:H$1000,MATCH(B24,Items!J$1:J$1000,0),6),0)</f>
        <v>0</v>
      </c>
      <c r="G24" s="68"/>
      <c r="H24" s="75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51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50" t="str">
        <f>IFERROR(INDEX(Items!B$1:H$1000,MATCH(B25,Items!J$1:J$1000,0),4),"")</f>
        <v/>
      </c>
      <c r="D25" s="150">
        <f>IFERROR(INDEX(Items!B$1:H$1000,MATCH(B25,Items!J$1:J$1000,0),5),0)</f>
        <v>0</v>
      </c>
      <c r="E25" s="50"/>
      <c r="F25" s="50">
        <f>IFERROR(INDEX(Items!B$1:H$1000,MATCH(B25,Items!J$1:J$1000,0),6),0)</f>
        <v>0</v>
      </c>
      <c r="G25" s="68"/>
      <c r="H25" s="75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51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50" t="str">
        <f>IFERROR(INDEX(Items!B$1:H$1000,MATCH(B26,Items!J$1:J$1000,0),4),"")</f>
        <v/>
      </c>
      <c r="D26" s="150">
        <f>IFERROR(INDEX(Items!B$1:H$1000,MATCH(B26,Items!J$1:J$1000,0),5),0)</f>
        <v>0</v>
      </c>
      <c r="E26" s="50"/>
      <c r="F26" s="50">
        <f>IFERROR(INDEX(Items!B$1:H$1000,MATCH(B26,Items!J$1:J$1000,0),6),0)</f>
        <v>0</v>
      </c>
      <c r="G26" s="68"/>
      <c r="H26" s="75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51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50" t="str">
        <f>IFERROR(INDEX(Items!B$1:H$1000,MATCH(B27,Items!J$1:J$1000,0),4),"")</f>
        <v/>
      </c>
      <c r="D27" s="150">
        <f>IFERROR(INDEX(Items!B$1:H$1000,MATCH(B27,Items!J$1:J$1000,0),5),0)</f>
        <v>0</v>
      </c>
      <c r="E27" s="50"/>
      <c r="F27" s="50">
        <f>IFERROR(INDEX(Items!B$1:H$1000,MATCH(B27,Items!J$1:J$1000,0),6),0)</f>
        <v>0</v>
      </c>
      <c r="G27" s="68"/>
      <c r="H27" s="75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51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50" t="str">
        <f>IFERROR(INDEX(Items!B$1:H$1000,MATCH(B28,Items!J$1:J$1000,0),4),"")</f>
        <v/>
      </c>
      <c r="D28" s="150">
        <f>IFERROR(INDEX(Items!B$1:H$1000,MATCH(B28,Items!J$1:J$1000,0),5),0)</f>
        <v>0</v>
      </c>
      <c r="E28" s="50"/>
      <c r="F28" s="50">
        <f>IFERROR(INDEX(Items!B$1:H$1000,MATCH(B28,Items!J$1:J$1000,0),6),0)</f>
        <v>0</v>
      </c>
      <c r="G28" s="68"/>
      <c r="H28" s="75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51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50" t="str">
        <f>IFERROR(INDEX(Items!B$1:H$1000,MATCH(B29,Items!J$1:J$1000,0),4),"")</f>
        <v/>
      </c>
      <c r="D29" s="150">
        <f>IFERROR(INDEX(Items!B$1:H$1000,MATCH(B29,Items!J$1:J$1000,0),5),0)</f>
        <v>0</v>
      </c>
      <c r="E29" s="50"/>
      <c r="F29" s="50">
        <f>IFERROR(INDEX(Items!B$1:H$1000,MATCH(B29,Items!J$1:J$1000,0),6),0)</f>
        <v>0</v>
      </c>
      <c r="G29" s="68"/>
      <c r="H29" s="75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51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50" t="str">
        <f>IFERROR(INDEX(Items!B$1:H$1000,MATCH(B30,Items!J$1:J$1000,0),4),"")</f>
        <v/>
      </c>
      <c r="D30" s="150">
        <f>IFERROR(INDEX(Items!B$1:H$1000,MATCH(B30,Items!J$1:J$1000,0),5),0)</f>
        <v>0</v>
      </c>
      <c r="E30" s="50"/>
      <c r="F30" s="50">
        <f>IFERROR(INDEX(Items!B$1:H$1000,MATCH(B30,Items!J$1:J$1000,0),6),0)</f>
        <v>0</v>
      </c>
      <c r="G30" s="68"/>
      <c r="H30" s="75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51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50" t="str">
        <f>IFERROR(INDEX(Items!B$1:H$1000,MATCH(B31,Items!J$1:J$1000,0),4),"")</f>
        <v/>
      </c>
      <c r="D31" s="150">
        <f>IFERROR(INDEX(Items!B$1:H$1000,MATCH(B31,Items!J$1:J$1000,0),5),0)</f>
        <v>0</v>
      </c>
      <c r="E31" s="50"/>
      <c r="F31" s="50">
        <f>IFERROR(INDEX(Items!B$1:H$1000,MATCH(B31,Items!J$1:J$1000,0),6),0)</f>
        <v>0</v>
      </c>
      <c r="G31" s="68"/>
      <c r="H31" s="75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51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50" t="str">
        <f>IFERROR(INDEX(Items!B$1:H$1000,MATCH(B32,Items!J$1:J$1000,0),4),"")</f>
        <v/>
      </c>
      <c r="D32" s="150">
        <f>IFERROR(INDEX(Items!B$1:H$1000,MATCH(B32,Items!J$1:J$1000,0),5),0)</f>
        <v>0</v>
      </c>
      <c r="E32" s="50"/>
      <c r="F32" s="50">
        <f>IFERROR(INDEX(Items!B$1:H$1000,MATCH(B32,Items!J$1:J$1000,0),6),0)</f>
        <v>0</v>
      </c>
      <c r="G32" s="68"/>
      <c r="H32" s="75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51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50" t="str">
        <f>IFERROR(INDEX(Items!B$1:H$1000,MATCH(B33,Items!J$1:J$1000,0),4),"")</f>
        <v/>
      </c>
      <c r="D33" s="150">
        <f>IFERROR(INDEX(Items!B$1:H$1000,MATCH(B33,Items!J$1:J$1000,0),5),0)</f>
        <v>0</v>
      </c>
      <c r="E33" s="50"/>
      <c r="F33" s="50">
        <f>IFERROR(INDEX(Items!B$1:H$1000,MATCH(B33,Items!J$1:J$1000,0),6),0)</f>
        <v>0</v>
      </c>
      <c r="G33" s="68"/>
      <c r="H33" s="75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51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50" t="str">
        <f>IFERROR(INDEX(Items!B$1:H$1000,MATCH(B34,Items!J$1:J$1000,0),4),"")</f>
        <v/>
      </c>
      <c r="D34" s="150">
        <f>IFERROR(INDEX(Items!B$1:H$1000,MATCH(B34,Items!J$1:J$1000,0),5),0)</f>
        <v>0</v>
      </c>
      <c r="E34" s="50"/>
      <c r="F34" s="50">
        <f>IFERROR(INDEX(Items!B$1:H$1000,MATCH(B34,Items!J$1:J$1000,0),6),0)</f>
        <v>0</v>
      </c>
      <c r="G34" s="68"/>
      <c r="H34" s="75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51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50" t="str">
        <f>IFERROR(INDEX(Items!B$1:H$1000,MATCH(B35,Items!J$1:J$1000,0),4),"")</f>
        <v/>
      </c>
      <c r="D35" s="150">
        <f>IFERROR(INDEX(Items!B$1:H$1000,MATCH(B35,Items!J$1:J$1000,0),5),0)</f>
        <v>0</v>
      </c>
      <c r="E35" s="50"/>
      <c r="F35" s="50">
        <f>IFERROR(INDEX(Items!B$1:H$1000,MATCH(B35,Items!J$1:J$1000,0),6),0)</f>
        <v>0</v>
      </c>
      <c r="G35" s="68"/>
      <c r="H35" s="75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51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50" t="str">
        <f>IFERROR(INDEX(Items!B$1:H$1000,MATCH(B36,Items!J$1:J$1000,0),4),"")</f>
        <v/>
      </c>
      <c r="D36" s="150">
        <f>IFERROR(INDEX(Items!B$1:H$1000,MATCH(B36,Items!J$1:J$1000,0),5),0)</f>
        <v>0</v>
      </c>
      <c r="E36" s="50"/>
      <c r="F36" s="50">
        <f>IFERROR(INDEX(Items!B$1:H$1000,MATCH(B36,Items!J$1:J$1000,0),6),0)</f>
        <v>0</v>
      </c>
      <c r="G36" s="68"/>
      <c r="H36" s="75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51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50" t="str">
        <f>IFERROR(INDEX(Items!B$1:H$1000,MATCH(B37,Items!J$1:J$1000,0),4),"")</f>
        <v/>
      </c>
      <c r="D37" s="150">
        <f>IFERROR(INDEX(Items!B$1:H$1000,MATCH(B37,Items!J$1:J$1000,0),5),0)</f>
        <v>0</v>
      </c>
      <c r="E37" s="1"/>
      <c r="F37" s="50">
        <f>IFERROR(INDEX(Items!B$1:H$1000,MATCH(B37,Items!J$1:J$1000,0),6),0)</f>
        <v>0</v>
      </c>
      <c r="G37" s="68"/>
      <c r="H37" s="75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51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50" t="str">
        <f>IFERROR(INDEX(Items!B$1:H$1000,MATCH(B38,Items!J$1:J$1000,0),4),"")</f>
        <v/>
      </c>
      <c r="D38" s="150">
        <f>IFERROR(INDEX(Items!B$1:H$1000,MATCH(B38,Items!J$1:J$1000,0),5),0)</f>
        <v>0</v>
      </c>
      <c r="E38" s="1"/>
      <c r="F38" s="50">
        <f>IFERROR(INDEX(Items!B$1:H$1000,MATCH(B38,Items!J$1:J$1000,0),6),0)</f>
        <v>0</v>
      </c>
      <c r="G38" s="68"/>
      <c r="H38" s="75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51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50" t="str">
        <f>IFERROR(INDEX(Items!B$1:H$1000,MATCH(B39,Items!J$1:J$1000,0),4),"")</f>
        <v/>
      </c>
      <c r="D39" s="150">
        <f>IFERROR(INDEX(Items!B$1:H$1000,MATCH(B39,Items!J$1:J$1000,0),5),0)</f>
        <v>0</v>
      </c>
      <c r="E39" s="1"/>
      <c r="F39" s="50">
        <f>IFERROR(INDEX(Items!B$1:H$1000,MATCH(B39,Items!J$1:J$1000,0),6),0)</f>
        <v>0</v>
      </c>
      <c r="G39" s="68"/>
      <c r="H39" s="75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ref="J39:J56" si="7">D39*((100-F39)/100)*(G39/100)</f>
        <v>0</v>
      </c>
      <c r="K39" s="51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50" t="str">
        <f>IFERROR(INDEX(Items!B$1:H$1000,MATCH(B40,Items!J$1:J$1000,0),4),"")</f>
        <v/>
      </c>
      <c r="D40" s="150">
        <f>IFERROR(INDEX(Items!B$1:H$1000,MATCH(B40,Items!J$1:J$1000,0),5),0)</f>
        <v>0</v>
      </c>
      <c r="E40" s="1"/>
      <c r="F40" s="50">
        <f>IFERROR(INDEX(Items!B$1:H$1000,MATCH(B40,Items!J$1:J$1000,0),6),0)</f>
        <v>0</v>
      </c>
      <c r="G40" s="68"/>
      <c r="H40" s="75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7"/>
        <v>0</v>
      </c>
      <c r="K40" s="51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50" t="str">
        <f>IFERROR(INDEX(Items!B$1:H$1000,MATCH(B41,Items!J$1:J$1000,0),4),"")</f>
        <v/>
      </c>
      <c r="D41" s="150">
        <f>IFERROR(INDEX(Items!B$1:H$1000,MATCH(B41,Items!J$1:J$1000,0),5),0)</f>
        <v>0</v>
      </c>
      <c r="E41" s="1"/>
      <c r="F41" s="50">
        <f>IFERROR(INDEX(Items!B$1:H$1000,MATCH(B41,Items!J$1:J$1000,0),6),0)</f>
        <v>0</v>
      </c>
      <c r="G41" s="68"/>
      <c r="H41" s="75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7"/>
        <v>0</v>
      </c>
      <c r="K41" s="51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50" t="str">
        <f>IFERROR(INDEX(Items!B$1:H$1000,MATCH(B42,Items!J$1:J$1000,0),4),"")</f>
        <v/>
      </c>
      <c r="D42" s="150">
        <f>IFERROR(INDEX(Items!B$1:H$1000,MATCH(B42,Items!J$1:J$1000,0),5),0)</f>
        <v>0</v>
      </c>
      <c r="E42" s="1"/>
      <c r="F42" s="50">
        <f>IFERROR(INDEX(Items!B$1:H$1000,MATCH(B42,Items!J$1:J$1000,0),6),0)</f>
        <v>0</v>
      </c>
      <c r="G42" s="68"/>
      <c r="H42" s="75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7"/>
        <v>0</v>
      </c>
      <c r="K42" s="51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50" t="str">
        <f>IFERROR(INDEX(Items!B$1:H$1000,MATCH(B43,Items!J$1:J$1000,0),4),"")</f>
        <v/>
      </c>
      <c r="D43" s="150">
        <f>IFERROR(INDEX(Items!B$1:H$1000,MATCH(B43,Items!J$1:J$1000,0),5),0)</f>
        <v>0</v>
      </c>
      <c r="E43" s="1"/>
      <c r="F43" s="50">
        <f>IFERROR(INDEX(Items!B$1:H$1000,MATCH(B43,Items!J$1:J$1000,0),6),0)</f>
        <v>0</v>
      </c>
      <c r="G43" s="68"/>
      <c r="H43" s="75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7"/>
        <v>0</v>
      </c>
      <c r="K43" s="51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50" t="str">
        <f>IFERROR(INDEX(Items!B$1:H$1000,MATCH(B44,Items!J$1:J$1000,0),4),"")</f>
        <v/>
      </c>
      <c r="D44" s="150">
        <f>IFERROR(INDEX(Items!B$1:H$1000,MATCH(B44,Items!J$1:J$1000,0),5),0)</f>
        <v>0</v>
      </c>
      <c r="E44" s="1"/>
      <c r="F44" s="50">
        <f>IFERROR(INDEX(Items!B$1:H$1000,MATCH(B44,Items!J$1:J$1000,0),6),0)</f>
        <v>0</v>
      </c>
      <c r="G44" s="68"/>
      <c r="H44" s="75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7"/>
        <v>0</v>
      </c>
      <c r="K44" s="51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50" t="str">
        <f>IFERROR(INDEX(Items!B$1:H$1000,MATCH(B45,Items!J$1:J$1000,0),4),"")</f>
        <v/>
      </c>
      <c r="D45" s="150">
        <f>IFERROR(INDEX(Items!B$1:H$1000,MATCH(B45,Items!J$1:J$1000,0),5),0)</f>
        <v>0</v>
      </c>
      <c r="E45" s="1"/>
      <c r="F45" s="50">
        <f>IFERROR(INDEX(Items!B$1:H$1000,MATCH(B45,Items!J$1:J$1000,0),6),0)</f>
        <v>0</v>
      </c>
      <c r="G45" s="68"/>
      <c r="H45" s="75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7"/>
        <v>0</v>
      </c>
      <c r="K45" s="51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50" t="str">
        <f>IFERROR(INDEX(Items!B$1:H$1000,MATCH(B46,Items!J$1:J$1000,0),4),"")</f>
        <v/>
      </c>
      <c r="D46" s="150">
        <f>IFERROR(INDEX(Items!B$1:H$1000,MATCH(B46,Items!J$1:J$1000,0),5),0)</f>
        <v>0</v>
      </c>
      <c r="E46" s="1"/>
      <c r="F46" s="50">
        <f>IFERROR(INDEX(Items!B$1:H$1000,MATCH(B46,Items!J$1:J$1000,0),6),0)</f>
        <v>0</v>
      </c>
      <c r="G46" s="68"/>
      <c r="H46" s="75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7"/>
        <v>0</v>
      </c>
      <c r="K46" s="51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50" t="str">
        <f>IFERROR(INDEX(Items!B$1:H$1000,MATCH(B47,Items!J$1:J$1000,0),4),"")</f>
        <v/>
      </c>
      <c r="D47" s="150">
        <f>IFERROR(INDEX(Items!B$1:H$1000,MATCH(B47,Items!J$1:J$1000,0),5),0)</f>
        <v>0</v>
      </c>
      <c r="E47" s="1"/>
      <c r="F47" s="50">
        <f>IFERROR(INDEX(Items!B$1:H$1000,MATCH(B47,Items!J$1:J$1000,0),6),0)</f>
        <v>0</v>
      </c>
      <c r="G47" s="68"/>
      <c r="H47" s="75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7"/>
        <v>0</v>
      </c>
      <c r="K47" s="51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50" t="str">
        <f>IFERROR(INDEX(Items!B$1:H$1000,MATCH(B48,Items!J$1:J$1000,0),4),"")</f>
        <v/>
      </c>
      <c r="D48" s="150">
        <f>IFERROR(INDEX(Items!B$1:H$1000,MATCH(B48,Items!J$1:J$1000,0),5),0)</f>
        <v>0</v>
      </c>
      <c r="E48" s="1"/>
      <c r="F48" s="50">
        <f>IFERROR(INDEX(Items!B$1:H$1000,MATCH(B48,Items!J$1:J$1000,0),6),0)</f>
        <v>0</v>
      </c>
      <c r="G48" s="68"/>
      <c r="H48" s="75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7"/>
        <v>0</v>
      </c>
      <c r="K48" s="51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50" t="str">
        <f>IFERROR(INDEX(Items!B$1:H$1000,MATCH(B49,Items!J$1:J$1000,0),4),"")</f>
        <v/>
      </c>
      <c r="D49" s="150">
        <f>IFERROR(INDEX(Items!B$1:H$1000,MATCH(B49,Items!J$1:J$1000,0),5),0)</f>
        <v>0</v>
      </c>
      <c r="E49" s="1"/>
      <c r="F49" s="50">
        <f>IFERROR(INDEX(Items!B$1:H$1000,MATCH(B49,Items!J$1:J$1000,0),6),0)</f>
        <v>0</v>
      </c>
      <c r="G49" s="68"/>
      <c r="H49" s="75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7"/>
        <v>0</v>
      </c>
      <c r="K49" s="51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50" t="str">
        <f>IFERROR(INDEX(Items!B$1:H$1000,MATCH(B50,Items!J$1:J$1000,0),4),"")</f>
        <v/>
      </c>
      <c r="D50" s="150">
        <f>IFERROR(INDEX(Items!B$1:H$1000,MATCH(B50,Items!J$1:J$1000,0),5),0)</f>
        <v>0</v>
      </c>
      <c r="E50" s="1"/>
      <c r="F50" s="50">
        <f>IFERROR(INDEX(Items!B$1:H$1000,MATCH(B50,Items!J$1:J$1000,0),6),0)</f>
        <v>0</v>
      </c>
      <c r="G50" s="68"/>
      <c r="H50" s="75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7"/>
        <v>0</v>
      </c>
      <c r="K50" s="51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50" t="str">
        <f>IFERROR(INDEX(Items!B$1:H$1000,MATCH(B51,Items!J$1:J$1000,0),4),"")</f>
        <v/>
      </c>
      <c r="D51" s="150">
        <f>IFERROR(INDEX(Items!B$1:H$1000,MATCH(B51,Items!J$1:J$1000,0),5),0)</f>
        <v>0</v>
      </c>
      <c r="E51" s="1"/>
      <c r="F51" s="50">
        <f>IFERROR(INDEX(Items!B$1:H$1000,MATCH(B51,Items!J$1:J$1000,0),6),0)</f>
        <v>0</v>
      </c>
      <c r="G51" s="68"/>
      <c r="H51" s="75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7"/>
        <v>0</v>
      </c>
      <c r="K51" s="51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50" t="str">
        <f>IFERROR(INDEX(Items!B$1:H$1000,MATCH(B52,Items!J$1:J$1000,0),4),"")</f>
        <v/>
      </c>
      <c r="D52" s="150">
        <f>IFERROR(INDEX(Items!B$1:H$1000,MATCH(B52,Items!J$1:J$1000,0),5),0)</f>
        <v>0</v>
      </c>
      <c r="E52" s="1"/>
      <c r="F52" s="50">
        <f>IFERROR(INDEX(Items!B$1:H$1000,MATCH(B52,Items!J$1:J$1000,0),6),0)</f>
        <v>0</v>
      </c>
      <c r="G52" s="68"/>
      <c r="H52" s="75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7"/>
        <v>0</v>
      </c>
      <c r="K52" s="51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50" t="str">
        <f>IFERROR(INDEX(Items!B$1:H$1000,MATCH(B53,Items!J$1:J$1000,0),4),"")</f>
        <v/>
      </c>
      <c r="D53" s="150">
        <f>IFERROR(INDEX(Items!B$1:H$1000,MATCH(B53,Items!J$1:J$1000,0),5),0)</f>
        <v>0</v>
      </c>
      <c r="E53" s="1"/>
      <c r="F53" s="50">
        <f>IFERROR(INDEX(Items!B$1:H$1000,MATCH(B53,Items!J$1:J$1000,0),6),0)</f>
        <v>0</v>
      </c>
      <c r="G53" s="68"/>
      <c r="H53" s="75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7"/>
        <v>0</v>
      </c>
      <c r="K53" s="51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50" t="str">
        <f>IFERROR(INDEX(Items!B$1:H$1000,MATCH(B54,Items!J$1:J$1000,0),4),"")</f>
        <v/>
      </c>
      <c r="D54" s="150">
        <f>IFERROR(INDEX(Items!B$1:H$1000,MATCH(B54,Items!J$1:J$1000,0),5),0)</f>
        <v>0</v>
      </c>
      <c r="E54" s="1"/>
      <c r="F54" s="50">
        <f>IFERROR(INDEX(Items!B$1:H$1000,MATCH(B54,Items!J$1:J$1000,0),6),0)</f>
        <v>0</v>
      </c>
      <c r="G54" s="68"/>
      <c r="H54" s="75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7"/>
        <v>0</v>
      </c>
      <c r="K54" s="51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50" t="str">
        <f>IFERROR(INDEX(Items!B$1:H$1000,MATCH(B55,Items!J$1:J$1000,0),4),"")</f>
        <v/>
      </c>
      <c r="D55" s="150">
        <f>IFERROR(INDEX(Items!B$1:H$1000,MATCH(B55,Items!J$1:J$1000,0),5),0)</f>
        <v>0</v>
      </c>
      <c r="E55" s="1"/>
      <c r="F55" s="50">
        <f>IFERROR(INDEX(Items!B$1:H$1000,MATCH(B55,Items!J$1:J$1000,0),6),0)</f>
        <v>0</v>
      </c>
      <c r="G55" s="68"/>
      <c r="H55" s="75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7"/>
        <v>0</v>
      </c>
      <c r="K55" s="51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46">
        <v>50</v>
      </c>
      <c r="B56" s="47"/>
      <c r="C56" s="50" t="str">
        <f>IFERROR(INDEX(Items!B$1:H$1000,MATCH(B56,Items!J$1:J$1000,0),4),"")</f>
        <v/>
      </c>
      <c r="D56" s="150">
        <f>IFERROR(INDEX(Items!B$1:H$1000,MATCH(B56,Items!J$1:J$1000,0),5),0)</f>
        <v>0</v>
      </c>
      <c r="E56" s="47"/>
      <c r="F56" s="50">
        <f>IFERROR(INDEX(Items!B$1:H$1000,MATCH(B56,Items!J$1:J$1000,0),6),0)</f>
        <v>0</v>
      </c>
      <c r="G56" s="154"/>
      <c r="H56" s="75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7"/>
        <v>0</v>
      </c>
      <c r="K56" s="51">
        <f t="shared" si="0"/>
        <v>0</v>
      </c>
      <c r="L56" s="41">
        <f t="shared" si="1"/>
        <v>0</v>
      </c>
      <c r="M56" s="41">
        <f t="shared" si="2"/>
        <v>0</v>
      </c>
      <c r="N56" s="41">
        <f t="shared" si="3"/>
        <v>0</v>
      </c>
      <c r="O56" s="48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67" t="s">
        <v>151</v>
      </c>
      <c r="C58" s="168"/>
      <c r="D58" s="169"/>
      <c r="E58" s="169"/>
      <c r="F58" s="169"/>
      <c r="G58" s="169"/>
      <c r="H58" s="169"/>
      <c r="I58" s="169"/>
      <c r="J58" s="44">
        <f>SUM(J7:J56)</f>
        <v>2.5</v>
      </c>
      <c r="K58" s="44">
        <f t="shared" ref="K58:L58" si="8">SUM(K7:K56)</f>
        <v>25</v>
      </c>
      <c r="L58" s="44">
        <f t="shared" si="8"/>
        <v>22.5</v>
      </c>
      <c r="M58" s="44">
        <f t="shared" ref="M58:P58" si="9">SUM(M7:M56)</f>
        <v>22.5</v>
      </c>
      <c r="N58" s="44">
        <f t="shared" si="9"/>
        <v>0</v>
      </c>
      <c r="O58" s="44">
        <f t="shared" si="9"/>
        <v>0</v>
      </c>
      <c r="P58" s="45">
        <f t="shared" si="9"/>
        <v>900</v>
      </c>
    </row>
    <row r="59" spans="1:16" ht="15" thickBot="1" x14ac:dyDescent="0.35"/>
    <row r="60" spans="1:16" ht="15.75" customHeight="1" thickBot="1" x14ac:dyDescent="0.35">
      <c r="B60" s="170" t="s">
        <v>50</v>
      </c>
      <c r="C60" s="171"/>
      <c r="D60" s="151">
        <f>SUM(P7:P56)</f>
        <v>900</v>
      </c>
      <c r="J60" s="120" t="s">
        <v>89</v>
      </c>
      <c r="K60" s="121" t="s">
        <v>62</v>
      </c>
      <c r="L60" s="122" t="s">
        <v>62</v>
      </c>
    </row>
    <row r="61" spans="1:16" ht="15" thickBot="1" x14ac:dyDescent="0.35">
      <c r="B61" s="172" t="s">
        <v>48</v>
      </c>
      <c r="C61" s="173"/>
      <c r="D61" s="151">
        <v>0</v>
      </c>
      <c r="J61" s="123" t="str">
        <f>'Tax Rates'!A2</f>
        <v>GST 5%</v>
      </c>
      <c r="K61" s="124"/>
      <c r="L61" s="125">
        <f>IFERROR(SUMIFS(O:O,H:H,J61)-(SUMIFS(O:O,H:H,J61)*($D$61/100)),0)</f>
        <v>0</v>
      </c>
    </row>
    <row r="62" spans="1:16" ht="15" thickBot="1" x14ac:dyDescent="0.35">
      <c r="B62" s="170" t="s">
        <v>51</v>
      </c>
      <c r="C62" s="171"/>
      <c r="D62" s="151">
        <f>IFERROR(D60*(D61/100),0)</f>
        <v>0</v>
      </c>
      <c r="J62" s="123" t="str">
        <f>'Tax Rates'!A3</f>
        <v>GST 12%</v>
      </c>
      <c r="K62" s="10"/>
      <c r="L62" s="125">
        <f t="shared" ref="L62:L69" si="10">IFERROR(SUMIFS(O:O,H:H,J62)-(SUMIFS(O:O,H:H,J62)*($D$61/100)),0)</f>
        <v>0</v>
      </c>
    </row>
    <row r="63" spans="1:16" ht="15" thickBot="1" x14ac:dyDescent="0.35">
      <c r="B63" s="170" t="s">
        <v>90</v>
      </c>
      <c r="C63" s="171"/>
      <c r="D63" s="151">
        <f>IFERROR(O58-O58*(D61/100),0)</f>
        <v>0</v>
      </c>
      <c r="J63" s="123" t="str">
        <f>'Tax Rates'!A4</f>
        <v>GST 18%</v>
      </c>
      <c r="K63" s="10"/>
      <c r="L63" s="125">
        <f t="shared" si="10"/>
        <v>0</v>
      </c>
    </row>
    <row r="64" spans="1:16" ht="15" thickBot="1" x14ac:dyDescent="0.35">
      <c r="B64" s="165" t="s">
        <v>152</v>
      </c>
      <c r="C64" s="166"/>
      <c r="D64" s="151">
        <v>28</v>
      </c>
      <c r="J64" s="123" t="str">
        <f>'Tax Rates'!A5</f>
        <v>GST 28%</v>
      </c>
      <c r="K64" s="10"/>
      <c r="L64" s="125">
        <f t="shared" si="10"/>
        <v>0</v>
      </c>
    </row>
    <row r="65" spans="2:12" ht="15" thickBot="1" x14ac:dyDescent="0.35">
      <c r="B65" s="163" t="s">
        <v>82</v>
      </c>
      <c r="C65" s="164"/>
      <c r="D65" s="152">
        <f>IFERROR(ROUND(D60-D62+D63+D64,0),0)</f>
        <v>928</v>
      </c>
      <c r="J65" s="123" t="str">
        <f>'Tax Rates'!A6</f>
        <v>IGST 5%</v>
      </c>
      <c r="K65" s="10"/>
      <c r="L65" s="125">
        <f t="shared" si="10"/>
        <v>0</v>
      </c>
    </row>
    <row r="66" spans="2:12" ht="15" thickBot="1" x14ac:dyDescent="0.35">
      <c r="J66" s="123" t="str">
        <f>'Tax Rates'!A7</f>
        <v>IGST 12%</v>
      </c>
      <c r="K66" s="10"/>
      <c r="L66" s="125">
        <f t="shared" si="10"/>
        <v>0</v>
      </c>
    </row>
    <row r="67" spans="2:12" ht="15" thickBot="1" x14ac:dyDescent="0.35">
      <c r="J67" s="123" t="str">
        <f>'Tax Rates'!A8</f>
        <v>IGST 18%</v>
      </c>
      <c r="K67" s="119"/>
      <c r="L67" s="125">
        <f t="shared" si="10"/>
        <v>0</v>
      </c>
    </row>
    <row r="68" spans="2:12" ht="15" thickBot="1" x14ac:dyDescent="0.35">
      <c r="J68" s="123" t="str">
        <f>'Tax Rates'!A9</f>
        <v>IGST 28%</v>
      </c>
      <c r="K68" s="119"/>
      <c r="L68" s="125">
        <f t="shared" si="10"/>
        <v>0</v>
      </c>
    </row>
    <row r="69" spans="2:12" ht="15" thickBot="1" x14ac:dyDescent="0.35">
      <c r="J69" s="123" t="str">
        <f>'Tax Rates'!A10</f>
        <v>Exempted</v>
      </c>
      <c r="K69" s="126"/>
      <c r="L69" s="125">
        <f t="shared" si="10"/>
        <v>0</v>
      </c>
    </row>
  </sheetData>
  <sheetProtection algorithmName="SHA-512" hashValue="sZPDBQmhi4sGVJAOPvCorAL/wy7pHvhHnVq45XHlc9l6Y+EoV5XTi/KiiqcHOJwUSWffEaNGp8A1ZJjFrTFWUw==" saltValue="GZDMz2QPqAtNG4WSGmFG8w==" spinCount="100000" sheet="1" objects="1" scenarios="1"/>
  <dataConsolidate/>
  <mergeCells count="7">
    <mergeCell ref="B65:C65"/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4" xr:uid="{00000000-0002-0000-0000-000000000000}">
      <formula1>Customer</formula1>
    </dataValidation>
    <dataValidation type="list" allowBlank="1" showInputMessage="1" showErrorMessage="1" sqref="H7:H56 J61:J69" xr:uid="{00000000-0002-0000-0000-000001000000}">
      <formula1>TaxRates</formula1>
    </dataValidation>
    <dataValidation type="list" allowBlank="1" showInputMessage="1" showErrorMessage="1" sqref="B7:B56" xr:uid="{00000000-0002-0000-0000-000002000000}">
      <formula1>ItemList1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Button 27">
              <controlPr defaultSize="0" print="0" autoFill="0" autoPict="0" macro="[0]!ClearButtonInvoice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PrintNew">
                <anchor moveWithCells="1" sizeWithCells="1">
                  <from>
                    <xdr:col>14</xdr:col>
                    <xdr:colOff>60960</xdr:colOff>
                    <xdr:row>1</xdr:row>
                    <xdr:rowOff>175260</xdr:rowOff>
                  </from>
                  <to>
                    <xdr:col>15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6" name="Button 31">
              <controlPr defaultSize="0" print="0" autoFill="0" autoPict="0" macro="[0]!AddInvoice">
                <anchor moveWithCells="1" sizeWithCells="1">
                  <from>
                    <xdr:col>11</xdr:col>
                    <xdr:colOff>190500</xdr:colOff>
                    <xdr:row>1</xdr:row>
                    <xdr:rowOff>175260</xdr:rowOff>
                  </from>
                  <to>
                    <xdr:col>12</xdr:col>
                    <xdr:colOff>541020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72"/>
  <sheetViews>
    <sheetView showGridLines="0" zoomScale="110" zoomScaleNormal="110" workbookViewId="0">
      <selection activeCell="B26" sqref="B26"/>
    </sheetView>
  </sheetViews>
  <sheetFormatPr defaultRowHeight="14.4" x14ac:dyDescent="0.3"/>
  <cols>
    <col min="1" max="1" width="4.109375" bestFit="1" customWidth="1"/>
    <col min="2" max="2" width="34" customWidth="1"/>
    <col min="3" max="3" width="10.33203125" style="19" customWidth="1"/>
    <col min="4" max="4" width="11.88671875" style="19" bestFit="1" customWidth="1"/>
    <col min="5" max="5" width="8.88671875" style="19" customWidth="1"/>
    <col min="6" max="6" width="7.33203125" style="19" hidden="1" customWidth="1"/>
    <col min="7" max="7" width="8.6640625" style="19" customWidth="1"/>
    <col min="8" max="8" width="10.88671875" style="19" bestFit="1" customWidth="1"/>
    <col min="9" max="9" width="8.109375" style="19" customWidth="1"/>
    <col min="10" max="10" width="10.5546875" style="19" customWidth="1"/>
    <col min="11" max="11" width="12.44140625" style="19" hidden="1" customWidth="1"/>
    <col min="12" max="12" width="10.88671875" style="19" customWidth="1"/>
    <col min="13" max="13" width="10.5546875" style="19" customWidth="1"/>
    <col min="14" max="14" width="10.33203125" style="19" customWidth="1"/>
    <col min="15" max="15" width="10.88671875" style="19" bestFit="1" customWidth="1"/>
    <col min="16" max="16" width="11.88671875" style="19" bestFit="1" customWidth="1"/>
    <col min="18" max="18" width="13.109375" customWidth="1"/>
  </cols>
  <sheetData>
    <row r="1" spans="1:16" x14ac:dyDescent="0.3">
      <c r="I1" s="35"/>
      <c r="K1" s="35"/>
      <c r="L1" s="35"/>
      <c r="N1" s="35"/>
      <c r="O1" s="35"/>
      <c r="P1" s="35"/>
    </row>
    <row r="2" spans="1:16" x14ac:dyDescent="0.3">
      <c r="B2" s="112">
        <v>1</v>
      </c>
      <c r="C2" s="61" t="s">
        <v>46</v>
      </c>
      <c r="F2" s="37"/>
      <c r="G2" s="36"/>
      <c r="H2" s="36"/>
      <c r="I2" s="35"/>
      <c r="J2" s="37"/>
      <c r="K2" s="37"/>
      <c r="L2" s="37"/>
      <c r="M2" s="37"/>
      <c r="N2" s="37"/>
      <c r="O2" s="37"/>
      <c r="P2" s="37"/>
    </row>
    <row r="3" spans="1:16" x14ac:dyDescent="0.3">
      <c r="B3" s="113">
        <v>43244</v>
      </c>
      <c r="C3" s="61" t="s">
        <v>47</v>
      </c>
      <c r="F3" s="37"/>
      <c r="G3" s="36"/>
      <c r="H3" s="36"/>
      <c r="I3" s="35"/>
      <c r="J3" s="37"/>
      <c r="K3" s="37"/>
      <c r="L3" s="37"/>
      <c r="M3" s="37"/>
      <c r="N3" s="37"/>
      <c r="O3" s="37"/>
      <c r="P3" s="37"/>
    </row>
    <row r="4" spans="1:16" x14ac:dyDescent="0.3">
      <c r="B4" s="114"/>
      <c r="C4" s="61" t="s">
        <v>13</v>
      </c>
      <c r="F4" s="37"/>
      <c r="G4" s="36"/>
      <c r="H4" s="36"/>
      <c r="I4" s="35"/>
      <c r="J4" s="37"/>
      <c r="K4" s="37"/>
      <c r="L4" s="37"/>
      <c r="M4" s="37"/>
      <c r="N4" s="37"/>
      <c r="O4" s="37"/>
      <c r="P4" s="37"/>
    </row>
    <row r="5" spans="1:16" ht="15" thickBot="1" x14ac:dyDescent="0.35">
      <c r="F5" s="35"/>
      <c r="G5" s="35"/>
      <c r="H5" s="35"/>
      <c r="I5" s="35"/>
      <c r="J5" s="35"/>
      <c r="K5" s="35"/>
      <c r="L5" s="35"/>
      <c r="M5" s="35"/>
    </row>
    <row r="6" spans="1:16" ht="28.8" x14ac:dyDescent="0.3">
      <c r="A6" s="11" t="s">
        <v>39</v>
      </c>
      <c r="B6" s="2" t="s">
        <v>0</v>
      </c>
      <c r="C6" s="62" t="s">
        <v>12</v>
      </c>
      <c r="D6" s="62" t="s">
        <v>1</v>
      </c>
      <c r="E6" s="62" t="s">
        <v>2</v>
      </c>
      <c r="F6" s="63" t="s">
        <v>4</v>
      </c>
      <c r="G6" s="63" t="s">
        <v>5</v>
      </c>
      <c r="H6" s="63" t="s">
        <v>30</v>
      </c>
      <c r="I6" s="63" t="s">
        <v>6</v>
      </c>
      <c r="J6" s="64" t="s">
        <v>7</v>
      </c>
      <c r="K6" s="64" t="s">
        <v>8</v>
      </c>
      <c r="L6" s="64" t="s">
        <v>38</v>
      </c>
      <c r="M6" s="65" t="s">
        <v>3</v>
      </c>
      <c r="N6" s="64" t="s">
        <v>53</v>
      </c>
      <c r="O6" s="66" t="s">
        <v>9</v>
      </c>
      <c r="P6" s="67" t="s">
        <v>10</v>
      </c>
    </row>
    <row r="7" spans="1:16" x14ac:dyDescent="0.3">
      <c r="A7" s="12">
        <v>1</v>
      </c>
      <c r="B7" s="1"/>
      <c r="C7" s="71" t="str">
        <f>IFERROR(INDEX(Items!B$1:H$1000,MATCH(B7,Items!J$1:J$1000,0),4),"")</f>
        <v/>
      </c>
      <c r="D7" s="68">
        <f>IFERROR(INDEX(Items!B$1:H$1000,MATCH(B7,Items!J$1:J$1000,0),5),0)</f>
        <v>0</v>
      </c>
      <c r="E7" s="71"/>
      <c r="F7" s="68">
        <f>IFERROR(INDEX(Items!B$1:H$1000,MATCH(B7,Items!J$1:J$1000,0),6),0)</f>
        <v>0</v>
      </c>
      <c r="G7" s="68"/>
      <c r="H7" s="72" t="str">
        <f>IFERROR(INDEX(Items!B$1:H$1000,MATCH(B7,Items!J$1:J$1000,0),7),"Exempted")</f>
        <v>Exempted</v>
      </c>
      <c r="I7" s="38">
        <f>IFERROR(INDEX('Tax Rates'!A$1:F$20,MATCH(H7,'Tax Rates'!A$1:A$20,0),2),0)</f>
        <v>0</v>
      </c>
      <c r="J7" s="38">
        <f>D7*((100-F7)/100)*(G7/100)</f>
        <v>0</v>
      </c>
      <c r="K7" s="38">
        <f>D7*((100-F7)/100)</f>
        <v>0</v>
      </c>
      <c r="L7" s="38">
        <f>K7-J7</f>
        <v>0</v>
      </c>
      <c r="M7" s="38">
        <f>L7/((100+I7)/100)</f>
        <v>0</v>
      </c>
      <c r="N7" s="38">
        <f>(I7/100)*M7</f>
        <v>0</v>
      </c>
      <c r="O7" s="39">
        <f>(I7/100)*M7*E7</f>
        <v>0</v>
      </c>
      <c r="P7" s="40">
        <f>M7*E7</f>
        <v>0</v>
      </c>
    </row>
    <row r="8" spans="1:16" x14ac:dyDescent="0.3">
      <c r="A8" s="12">
        <v>2</v>
      </c>
      <c r="B8" s="1"/>
      <c r="C8" s="71" t="str">
        <f>IFERROR(INDEX(Items!B$1:H$1000,MATCH(B8,Items!J$1:J$1000,0),4),"")</f>
        <v/>
      </c>
      <c r="D8" s="68">
        <f>IFERROR(INDEX(Items!B$1:H$1000,MATCH(B8,Items!J$1:J$1000,0),5),0)</f>
        <v>0</v>
      </c>
      <c r="E8" s="71"/>
      <c r="F8" s="68">
        <f>IFERROR(INDEX(Items!B$1:H$1000,MATCH(B8,Items!J$1:J$1000,0),6),0)</f>
        <v>0</v>
      </c>
      <c r="G8" s="68"/>
      <c r="H8" s="72" t="str">
        <f>IFERROR(INDEX(Items!B$1:H$1000,MATCH(B8,Items!J$1:J$1000,0),7),"Exempted")</f>
        <v>Exempted</v>
      </c>
      <c r="I8" s="38">
        <f>IFERROR(INDEX('Tax Rates'!A$1:F$20,MATCH(H8,'Tax Rates'!A$1:A$20,0),2),0)</f>
        <v>0</v>
      </c>
      <c r="J8" s="38">
        <f>D8*((100-F8)/100)*(G8/100)</f>
        <v>0</v>
      </c>
      <c r="K8" s="38">
        <f t="shared" ref="K8:K56" si="0">D8*((100-F8)/100)</f>
        <v>0</v>
      </c>
      <c r="L8" s="38">
        <f t="shared" ref="L8:L56" si="1">K8-J8</f>
        <v>0</v>
      </c>
      <c r="M8" s="38">
        <f t="shared" ref="M8:M56" si="2">L8/((100+I8)/100)</f>
        <v>0</v>
      </c>
      <c r="N8" s="38">
        <f t="shared" ref="N8:N56" si="3">(I8/100)*M8</f>
        <v>0</v>
      </c>
      <c r="O8" s="39">
        <f t="shared" ref="O8:O56" si="4">(I8/100)*M8*E8</f>
        <v>0</v>
      </c>
      <c r="P8" s="40">
        <f t="shared" ref="P8:P56" si="5">M8*E8</f>
        <v>0</v>
      </c>
    </row>
    <row r="9" spans="1:16" x14ac:dyDescent="0.3">
      <c r="A9" s="12">
        <v>3</v>
      </c>
      <c r="B9" s="1"/>
      <c r="C9" s="71" t="str">
        <f>IFERROR(INDEX(Items!B$1:H$1000,MATCH(B9,Items!J$1:J$1000,0),4),"")</f>
        <v/>
      </c>
      <c r="D9" s="68">
        <f>IFERROR(INDEX(Items!B$1:H$1000,MATCH(B9,Items!J$1:J$1000,0),5),0)</f>
        <v>0</v>
      </c>
      <c r="E9" s="71"/>
      <c r="F9" s="68">
        <f>IFERROR(INDEX(Items!B$1:H$1000,MATCH(B9,Items!J$1:J$1000,0),6),0)</f>
        <v>0</v>
      </c>
      <c r="G9" s="68"/>
      <c r="H9" s="72" t="str">
        <f>IFERROR(INDEX(Items!B$1:H$1000,MATCH(B9,Items!J$1:J$1000,0),7),"Exempted")</f>
        <v>Exempted</v>
      </c>
      <c r="I9" s="38">
        <f>IFERROR(INDEX('Tax Rates'!A$1:F$20,MATCH(H9,'Tax Rates'!A$1:A$20,0),2),0)</f>
        <v>0</v>
      </c>
      <c r="J9" s="38">
        <f t="shared" ref="J9:J56" si="6">D9*((100-F9)/100)*(G9/100)</f>
        <v>0</v>
      </c>
      <c r="K9" s="38">
        <f t="shared" si="0"/>
        <v>0</v>
      </c>
      <c r="L9" s="38">
        <f t="shared" si="1"/>
        <v>0</v>
      </c>
      <c r="M9" s="38">
        <f t="shared" si="2"/>
        <v>0</v>
      </c>
      <c r="N9" s="38">
        <f t="shared" si="3"/>
        <v>0</v>
      </c>
      <c r="O9" s="39">
        <f t="shared" si="4"/>
        <v>0</v>
      </c>
      <c r="P9" s="40">
        <f t="shared" si="5"/>
        <v>0</v>
      </c>
    </row>
    <row r="10" spans="1:16" x14ac:dyDescent="0.3">
      <c r="A10" s="12">
        <v>4</v>
      </c>
      <c r="B10" s="1"/>
      <c r="C10" s="71" t="str">
        <f>IFERROR(INDEX(Items!B$1:H$1000,MATCH(B10,Items!J$1:J$1000,0),4),"")</f>
        <v/>
      </c>
      <c r="D10" s="68">
        <f>IFERROR(INDEX(Items!B$1:H$1000,MATCH(B10,Items!J$1:J$1000,0),5),0)</f>
        <v>0</v>
      </c>
      <c r="E10" s="71"/>
      <c r="F10" s="68">
        <f>IFERROR(INDEX(Items!B$1:H$1000,MATCH(B10,Items!J$1:J$1000,0),6),0)</f>
        <v>0</v>
      </c>
      <c r="G10" s="68"/>
      <c r="H10" s="72" t="str">
        <f>IFERROR(INDEX(Items!B$1:H$1000,MATCH(B10,Items!J$1:J$1000,0),7),"Exempted")</f>
        <v>Exempted</v>
      </c>
      <c r="I10" s="38">
        <f>IFERROR(INDEX('Tax Rates'!A$1:F$20,MATCH(H10,'Tax Rates'!A$1:A$20,0),2),0)</f>
        <v>0</v>
      </c>
      <c r="J10" s="38">
        <f t="shared" si="6"/>
        <v>0</v>
      </c>
      <c r="K10" s="38">
        <f t="shared" si="0"/>
        <v>0</v>
      </c>
      <c r="L10" s="38">
        <f t="shared" si="1"/>
        <v>0</v>
      </c>
      <c r="M10" s="38">
        <f t="shared" si="2"/>
        <v>0</v>
      </c>
      <c r="N10" s="38">
        <f t="shared" si="3"/>
        <v>0</v>
      </c>
      <c r="O10" s="39">
        <f t="shared" si="4"/>
        <v>0</v>
      </c>
      <c r="P10" s="40">
        <f t="shared" si="5"/>
        <v>0</v>
      </c>
    </row>
    <row r="11" spans="1:16" x14ac:dyDescent="0.3">
      <c r="A11" s="12">
        <v>5</v>
      </c>
      <c r="B11" s="1"/>
      <c r="C11" s="71" t="str">
        <f>IFERROR(INDEX(Items!B$1:H$1000,MATCH(B11,Items!J$1:J$1000,0),4),"")</f>
        <v/>
      </c>
      <c r="D11" s="68">
        <f>IFERROR(INDEX(Items!B$1:H$1000,MATCH(B11,Items!J$1:J$1000,0),5),0)</f>
        <v>0</v>
      </c>
      <c r="E11" s="71"/>
      <c r="F11" s="68">
        <f>IFERROR(INDEX(Items!B$1:H$1000,MATCH(B11,Items!J$1:J$1000,0),6),0)</f>
        <v>0</v>
      </c>
      <c r="G11" s="68"/>
      <c r="H11" s="72" t="str">
        <f>IFERROR(INDEX(Items!B$1:H$1000,MATCH(B11,Items!J$1:J$1000,0),7),"Exempted")</f>
        <v>Exempted</v>
      </c>
      <c r="I11" s="38">
        <f>IFERROR(INDEX('Tax Rates'!A$1:F$20,MATCH(H11,'Tax Rates'!A$1:A$20,0),2),0)</f>
        <v>0</v>
      </c>
      <c r="J11" s="38">
        <f t="shared" si="6"/>
        <v>0</v>
      </c>
      <c r="K11" s="38">
        <f t="shared" si="0"/>
        <v>0</v>
      </c>
      <c r="L11" s="38">
        <f t="shared" si="1"/>
        <v>0</v>
      </c>
      <c r="M11" s="38">
        <f t="shared" si="2"/>
        <v>0</v>
      </c>
      <c r="N11" s="38">
        <f t="shared" si="3"/>
        <v>0</v>
      </c>
      <c r="O11" s="39">
        <f t="shared" si="4"/>
        <v>0</v>
      </c>
      <c r="P11" s="40">
        <f t="shared" si="5"/>
        <v>0</v>
      </c>
    </row>
    <row r="12" spans="1:16" x14ac:dyDescent="0.3">
      <c r="A12" s="12">
        <v>6</v>
      </c>
      <c r="B12" s="1"/>
      <c r="C12" s="71" t="str">
        <f>IFERROR(INDEX(Items!B$1:H$1000,MATCH(B12,Items!J$1:J$1000,0),4),"")</f>
        <v/>
      </c>
      <c r="D12" s="68">
        <f>IFERROR(INDEX(Items!B$1:H$1000,MATCH(B12,Items!J$1:J$1000,0),5),0)</f>
        <v>0</v>
      </c>
      <c r="E12" s="71"/>
      <c r="F12" s="68">
        <f>IFERROR(INDEX(Items!B$1:H$1000,MATCH(B12,Items!J$1:J$1000,0),6),0)</f>
        <v>0</v>
      </c>
      <c r="G12" s="68"/>
      <c r="H12" s="72" t="str">
        <f>IFERROR(INDEX(Items!B$1:H$1000,MATCH(B12,Items!J$1:J$1000,0),7),"Exempted")</f>
        <v>Exempted</v>
      </c>
      <c r="I12" s="38">
        <f>IFERROR(INDEX('Tax Rates'!A$1:F$20,MATCH(H12,'Tax Rates'!A$1:A$20,0),2),0)</f>
        <v>0</v>
      </c>
      <c r="J12" s="38">
        <f t="shared" si="6"/>
        <v>0</v>
      </c>
      <c r="K12" s="38">
        <f t="shared" si="0"/>
        <v>0</v>
      </c>
      <c r="L12" s="38">
        <f t="shared" si="1"/>
        <v>0</v>
      </c>
      <c r="M12" s="38">
        <f t="shared" si="2"/>
        <v>0</v>
      </c>
      <c r="N12" s="38">
        <f t="shared" si="3"/>
        <v>0</v>
      </c>
      <c r="O12" s="39">
        <f t="shared" si="4"/>
        <v>0</v>
      </c>
      <c r="P12" s="40">
        <f t="shared" si="5"/>
        <v>0</v>
      </c>
    </row>
    <row r="13" spans="1:16" x14ac:dyDescent="0.3">
      <c r="A13" s="12">
        <v>7</v>
      </c>
      <c r="B13" s="1"/>
      <c r="C13" s="71" t="str">
        <f>IFERROR(INDEX(Items!B$1:H$1000,MATCH(B13,Items!J$1:J$1000,0),4),"")</f>
        <v/>
      </c>
      <c r="D13" s="68">
        <f>IFERROR(INDEX(Items!B$1:H$1000,MATCH(B13,Items!J$1:J$1000,0),5),0)</f>
        <v>0</v>
      </c>
      <c r="E13" s="71"/>
      <c r="F13" s="68">
        <f>IFERROR(INDEX(Items!B$1:H$1000,MATCH(B13,Items!J$1:J$1000,0),6),0)</f>
        <v>0</v>
      </c>
      <c r="G13" s="68"/>
      <c r="H13" s="72" t="str">
        <f>IFERROR(INDEX(Items!B$1:H$1000,MATCH(B13,Items!J$1:J$1000,0),7),"Exempted")</f>
        <v>Exempted</v>
      </c>
      <c r="I13" s="38">
        <f>IFERROR(INDEX('Tax Rates'!A$1:F$20,MATCH(H13,'Tax Rates'!A$1:A$20,0),2),0)</f>
        <v>0</v>
      </c>
      <c r="J13" s="38">
        <f t="shared" si="6"/>
        <v>0</v>
      </c>
      <c r="K13" s="38">
        <f t="shared" si="0"/>
        <v>0</v>
      </c>
      <c r="L13" s="38">
        <f t="shared" si="1"/>
        <v>0</v>
      </c>
      <c r="M13" s="38">
        <f t="shared" si="2"/>
        <v>0</v>
      </c>
      <c r="N13" s="38">
        <f t="shared" si="3"/>
        <v>0</v>
      </c>
      <c r="O13" s="39">
        <f t="shared" si="4"/>
        <v>0</v>
      </c>
      <c r="P13" s="40">
        <f t="shared" si="5"/>
        <v>0</v>
      </c>
    </row>
    <row r="14" spans="1:16" x14ac:dyDescent="0.3">
      <c r="A14" s="12">
        <v>8</v>
      </c>
      <c r="B14" s="1"/>
      <c r="C14" s="71" t="str">
        <f>IFERROR(INDEX(Items!B$1:H$1000,MATCH(B14,Items!J$1:J$1000,0),4),"")</f>
        <v/>
      </c>
      <c r="D14" s="68">
        <f>IFERROR(INDEX(Items!B$1:H$1000,MATCH(B14,Items!J$1:J$1000,0),5),0)</f>
        <v>0</v>
      </c>
      <c r="E14" s="71"/>
      <c r="F14" s="68">
        <f>IFERROR(INDEX(Items!B$1:H$1000,MATCH(B14,Items!J$1:J$1000,0),6),0)</f>
        <v>0</v>
      </c>
      <c r="G14" s="68"/>
      <c r="H14" s="72" t="str">
        <f>IFERROR(INDEX(Items!B$1:H$1000,MATCH(B14,Items!J$1:J$1000,0),7),"Exempted")</f>
        <v>Exempted</v>
      </c>
      <c r="I14" s="38">
        <f>IFERROR(INDEX('Tax Rates'!A$1:F$20,MATCH(H14,'Tax Rates'!A$1:A$20,0),2),0)</f>
        <v>0</v>
      </c>
      <c r="J14" s="38">
        <f t="shared" si="6"/>
        <v>0</v>
      </c>
      <c r="K14" s="38">
        <f t="shared" si="0"/>
        <v>0</v>
      </c>
      <c r="L14" s="38">
        <f t="shared" si="1"/>
        <v>0</v>
      </c>
      <c r="M14" s="38">
        <f t="shared" si="2"/>
        <v>0</v>
      </c>
      <c r="N14" s="38">
        <f t="shared" si="3"/>
        <v>0</v>
      </c>
      <c r="O14" s="39">
        <f t="shared" si="4"/>
        <v>0</v>
      </c>
      <c r="P14" s="40">
        <f t="shared" si="5"/>
        <v>0</v>
      </c>
    </row>
    <row r="15" spans="1:16" x14ac:dyDescent="0.3">
      <c r="A15" s="12">
        <v>9</v>
      </c>
      <c r="B15" s="1"/>
      <c r="C15" s="71" t="str">
        <f>IFERROR(INDEX(Items!B$1:H$1000,MATCH(B15,Items!J$1:J$1000,0),4),"")</f>
        <v/>
      </c>
      <c r="D15" s="68">
        <f>IFERROR(INDEX(Items!B$1:H$1000,MATCH(B15,Items!J$1:J$1000,0),5),0)</f>
        <v>0</v>
      </c>
      <c r="E15" s="71"/>
      <c r="F15" s="68">
        <f>IFERROR(INDEX(Items!B$1:H$1000,MATCH(B15,Items!J$1:J$1000,0),6),0)</f>
        <v>0</v>
      </c>
      <c r="G15" s="68"/>
      <c r="H15" s="72" t="str">
        <f>IFERROR(INDEX(Items!B$1:H$1000,MATCH(B15,Items!J$1:J$1000,0),7),"Exempted")</f>
        <v>Exempted</v>
      </c>
      <c r="I15" s="38">
        <f>IFERROR(INDEX('Tax Rates'!A$1:F$20,MATCH(H15,'Tax Rates'!A$1:A$20,0),2),0)</f>
        <v>0</v>
      </c>
      <c r="J15" s="38">
        <f t="shared" si="6"/>
        <v>0</v>
      </c>
      <c r="K15" s="38">
        <f t="shared" si="0"/>
        <v>0</v>
      </c>
      <c r="L15" s="38">
        <f t="shared" si="1"/>
        <v>0</v>
      </c>
      <c r="M15" s="38">
        <f t="shared" si="2"/>
        <v>0</v>
      </c>
      <c r="N15" s="38">
        <f t="shared" si="3"/>
        <v>0</v>
      </c>
      <c r="O15" s="39">
        <f t="shared" si="4"/>
        <v>0</v>
      </c>
      <c r="P15" s="40">
        <f t="shared" si="5"/>
        <v>0</v>
      </c>
    </row>
    <row r="16" spans="1:16" x14ac:dyDescent="0.3">
      <c r="A16" s="12">
        <v>10</v>
      </c>
      <c r="B16" s="1"/>
      <c r="C16" s="71" t="str">
        <f>IFERROR(INDEX(Items!B$1:H$1000,MATCH(B16,Items!J$1:J$1000,0),4),"")</f>
        <v/>
      </c>
      <c r="D16" s="68">
        <f>IFERROR(INDEX(Items!B$1:H$1000,MATCH(B16,Items!J$1:J$1000,0),5),0)</f>
        <v>0</v>
      </c>
      <c r="E16" s="71"/>
      <c r="F16" s="68">
        <f>IFERROR(INDEX(Items!B$1:H$1000,MATCH(B16,Items!J$1:J$1000,0),6),0)</f>
        <v>0</v>
      </c>
      <c r="G16" s="68"/>
      <c r="H16" s="72" t="str">
        <f>IFERROR(INDEX(Items!B$1:H$1000,MATCH(B16,Items!J$1:J$1000,0),7),"Exempted")</f>
        <v>Exempted</v>
      </c>
      <c r="I16" s="38">
        <f>IFERROR(INDEX('Tax Rates'!A$1:F$20,MATCH(H16,'Tax Rates'!A$1:A$20,0),2),0)</f>
        <v>0</v>
      </c>
      <c r="J16" s="38">
        <f t="shared" si="6"/>
        <v>0</v>
      </c>
      <c r="K16" s="38">
        <f t="shared" si="0"/>
        <v>0</v>
      </c>
      <c r="L16" s="38">
        <f t="shared" si="1"/>
        <v>0</v>
      </c>
      <c r="M16" s="38">
        <f t="shared" si="2"/>
        <v>0</v>
      </c>
      <c r="N16" s="38">
        <f t="shared" si="3"/>
        <v>0</v>
      </c>
      <c r="O16" s="39">
        <f t="shared" si="4"/>
        <v>0</v>
      </c>
      <c r="P16" s="40">
        <f t="shared" si="5"/>
        <v>0</v>
      </c>
    </row>
    <row r="17" spans="1:16" x14ac:dyDescent="0.3">
      <c r="A17" s="12">
        <v>11</v>
      </c>
      <c r="B17" s="1"/>
      <c r="C17" s="71" t="str">
        <f>IFERROR(INDEX(Items!B$1:H$1000,MATCH(B17,Items!J$1:J$1000,0),4),"")</f>
        <v/>
      </c>
      <c r="D17" s="68">
        <f>IFERROR(INDEX(Items!B$1:H$1000,MATCH(B17,Items!J$1:J$1000,0),5),0)</f>
        <v>0</v>
      </c>
      <c r="E17" s="71"/>
      <c r="F17" s="68">
        <f>IFERROR(INDEX(Items!B$1:H$1000,MATCH(B17,Items!J$1:J$1000,0),6),0)</f>
        <v>0</v>
      </c>
      <c r="G17" s="68"/>
      <c r="H17" s="72" t="str">
        <f>IFERROR(INDEX(Items!B$1:H$1000,MATCH(B17,Items!J$1:J$1000,0),7),"Exempted")</f>
        <v>Exempted</v>
      </c>
      <c r="I17" s="38">
        <f>IFERROR(INDEX('Tax Rates'!A$1:F$20,MATCH(H17,'Tax Rates'!A$1:A$20,0),2),0)</f>
        <v>0</v>
      </c>
      <c r="J17" s="38">
        <f t="shared" si="6"/>
        <v>0</v>
      </c>
      <c r="K17" s="38">
        <f t="shared" si="0"/>
        <v>0</v>
      </c>
      <c r="L17" s="38">
        <f t="shared" si="1"/>
        <v>0</v>
      </c>
      <c r="M17" s="38">
        <f t="shared" si="2"/>
        <v>0</v>
      </c>
      <c r="N17" s="38">
        <f t="shared" si="3"/>
        <v>0</v>
      </c>
      <c r="O17" s="39">
        <f t="shared" si="4"/>
        <v>0</v>
      </c>
      <c r="P17" s="40">
        <f t="shared" si="5"/>
        <v>0</v>
      </c>
    </row>
    <row r="18" spans="1:16" x14ac:dyDescent="0.3">
      <c r="A18" s="12">
        <v>12</v>
      </c>
      <c r="B18" s="1"/>
      <c r="C18" s="71" t="str">
        <f>IFERROR(INDEX(Items!B$1:H$1000,MATCH(B18,Items!J$1:J$1000,0),4),"")</f>
        <v/>
      </c>
      <c r="D18" s="68">
        <f>IFERROR(INDEX(Items!B$1:H$1000,MATCH(B18,Items!J$1:J$1000,0),5),0)</f>
        <v>0</v>
      </c>
      <c r="E18" s="71"/>
      <c r="F18" s="68">
        <f>IFERROR(INDEX(Items!B$1:H$1000,MATCH(B18,Items!J$1:J$1000,0),6),0)</f>
        <v>0</v>
      </c>
      <c r="G18" s="68"/>
      <c r="H18" s="72" t="str">
        <f>IFERROR(INDEX(Items!B$1:H$1000,MATCH(B18,Items!J$1:J$1000,0),7),"Exempted")</f>
        <v>Exempted</v>
      </c>
      <c r="I18" s="38">
        <f>IFERROR(INDEX('Tax Rates'!A$1:F$20,MATCH(H18,'Tax Rates'!A$1:A$20,0),2),0)</f>
        <v>0</v>
      </c>
      <c r="J18" s="38">
        <f t="shared" si="6"/>
        <v>0</v>
      </c>
      <c r="K18" s="38">
        <f t="shared" si="0"/>
        <v>0</v>
      </c>
      <c r="L18" s="38">
        <f t="shared" si="1"/>
        <v>0</v>
      </c>
      <c r="M18" s="38">
        <f t="shared" si="2"/>
        <v>0</v>
      </c>
      <c r="N18" s="38">
        <f t="shared" si="3"/>
        <v>0</v>
      </c>
      <c r="O18" s="39">
        <f t="shared" si="4"/>
        <v>0</v>
      </c>
      <c r="P18" s="40">
        <f t="shared" si="5"/>
        <v>0</v>
      </c>
    </row>
    <row r="19" spans="1:16" x14ac:dyDescent="0.3">
      <c r="A19" s="12">
        <v>13</v>
      </c>
      <c r="B19" s="1"/>
      <c r="C19" s="71" t="str">
        <f>IFERROR(INDEX(Items!B$1:H$1000,MATCH(B19,Items!J$1:J$1000,0),4),"")</f>
        <v/>
      </c>
      <c r="D19" s="68">
        <f>IFERROR(INDEX(Items!B$1:H$1000,MATCH(B19,Items!J$1:J$1000,0),5),0)</f>
        <v>0</v>
      </c>
      <c r="E19" s="71"/>
      <c r="F19" s="68">
        <f>IFERROR(INDEX(Items!B$1:H$1000,MATCH(B19,Items!J$1:J$1000,0),6),0)</f>
        <v>0</v>
      </c>
      <c r="G19" s="68"/>
      <c r="H19" s="72" t="str">
        <f>IFERROR(INDEX(Items!B$1:H$1000,MATCH(B19,Items!J$1:J$1000,0),7),"Exempted")</f>
        <v>Exempted</v>
      </c>
      <c r="I19" s="38">
        <f>IFERROR(INDEX('Tax Rates'!A$1:F$20,MATCH(H19,'Tax Rates'!A$1:A$20,0),2),0)</f>
        <v>0</v>
      </c>
      <c r="J19" s="38">
        <f t="shared" si="6"/>
        <v>0</v>
      </c>
      <c r="K19" s="38">
        <f t="shared" si="0"/>
        <v>0</v>
      </c>
      <c r="L19" s="38">
        <f t="shared" si="1"/>
        <v>0</v>
      </c>
      <c r="M19" s="38">
        <f t="shared" si="2"/>
        <v>0</v>
      </c>
      <c r="N19" s="38">
        <f t="shared" si="3"/>
        <v>0</v>
      </c>
      <c r="O19" s="39">
        <f t="shared" si="4"/>
        <v>0</v>
      </c>
      <c r="P19" s="40">
        <f t="shared" si="5"/>
        <v>0</v>
      </c>
    </row>
    <row r="20" spans="1:16" x14ac:dyDescent="0.3">
      <c r="A20" s="12">
        <v>14</v>
      </c>
      <c r="B20" s="1"/>
      <c r="C20" s="71" t="str">
        <f>IFERROR(INDEX(Items!B$1:H$1000,MATCH(B20,Items!J$1:J$1000,0),4),"")</f>
        <v/>
      </c>
      <c r="D20" s="68">
        <f>IFERROR(INDEX(Items!B$1:H$1000,MATCH(B20,Items!J$1:J$1000,0),5),0)</f>
        <v>0</v>
      </c>
      <c r="E20" s="71"/>
      <c r="F20" s="68">
        <f>IFERROR(INDEX(Items!B$1:H$1000,MATCH(B20,Items!J$1:J$1000,0),6),0)</f>
        <v>0</v>
      </c>
      <c r="G20" s="68"/>
      <c r="H20" s="72" t="str">
        <f>IFERROR(INDEX(Items!B$1:H$1000,MATCH(B20,Items!J$1:J$1000,0),7),"Exempted")</f>
        <v>Exempted</v>
      </c>
      <c r="I20" s="38">
        <f>IFERROR(INDEX('Tax Rates'!A$1:F$20,MATCH(H20,'Tax Rates'!A$1:A$20,0),2),0)</f>
        <v>0</v>
      </c>
      <c r="J20" s="38">
        <f t="shared" si="6"/>
        <v>0</v>
      </c>
      <c r="K20" s="38">
        <f t="shared" si="0"/>
        <v>0</v>
      </c>
      <c r="L20" s="38">
        <f t="shared" si="1"/>
        <v>0</v>
      </c>
      <c r="M20" s="38">
        <f t="shared" si="2"/>
        <v>0</v>
      </c>
      <c r="N20" s="38">
        <f t="shared" si="3"/>
        <v>0</v>
      </c>
      <c r="O20" s="39">
        <f t="shared" si="4"/>
        <v>0</v>
      </c>
      <c r="P20" s="40">
        <f t="shared" si="5"/>
        <v>0</v>
      </c>
    </row>
    <row r="21" spans="1:16" x14ac:dyDescent="0.3">
      <c r="A21" s="12">
        <v>15</v>
      </c>
      <c r="B21" s="1"/>
      <c r="C21" s="71" t="str">
        <f>IFERROR(INDEX(Items!B$1:H$1000,MATCH(B21,Items!J$1:J$1000,0),4),"")</f>
        <v/>
      </c>
      <c r="D21" s="68">
        <f>IFERROR(INDEX(Items!B$1:H$1000,MATCH(B21,Items!J$1:J$1000,0),5),0)</f>
        <v>0</v>
      </c>
      <c r="E21" s="71"/>
      <c r="F21" s="68">
        <f>IFERROR(INDEX(Items!B$1:H$1000,MATCH(B21,Items!J$1:J$1000,0),6),0)</f>
        <v>0</v>
      </c>
      <c r="G21" s="68"/>
      <c r="H21" s="72" t="str">
        <f>IFERROR(INDEX(Items!B$1:H$1000,MATCH(B21,Items!J$1:J$1000,0),7),"Exempted")</f>
        <v>Exempted</v>
      </c>
      <c r="I21" s="38">
        <f>IFERROR(INDEX('Tax Rates'!A$1:F$20,MATCH(H21,'Tax Rates'!A$1:A$20,0),2),0)</f>
        <v>0</v>
      </c>
      <c r="J21" s="38">
        <f t="shared" si="6"/>
        <v>0</v>
      </c>
      <c r="K21" s="38">
        <f t="shared" si="0"/>
        <v>0</v>
      </c>
      <c r="L21" s="38">
        <f t="shared" si="1"/>
        <v>0</v>
      </c>
      <c r="M21" s="38">
        <f t="shared" si="2"/>
        <v>0</v>
      </c>
      <c r="N21" s="38">
        <f t="shared" si="3"/>
        <v>0</v>
      </c>
      <c r="O21" s="39">
        <f t="shared" si="4"/>
        <v>0</v>
      </c>
      <c r="P21" s="40">
        <f t="shared" si="5"/>
        <v>0</v>
      </c>
    </row>
    <row r="22" spans="1:16" x14ac:dyDescent="0.3">
      <c r="A22" s="12">
        <v>16</v>
      </c>
      <c r="B22" s="1"/>
      <c r="C22" s="71" t="str">
        <f>IFERROR(INDEX(Items!B$1:H$1000,MATCH(B22,Items!J$1:J$1000,0),4),"")</f>
        <v/>
      </c>
      <c r="D22" s="68">
        <f>IFERROR(INDEX(Items!B$1:H$1000,MATCH(B22,Items!J$1:J$1000,0),5),0)</f>
        <v>0</v>
      </c>
      <c r="E22" s="71"/>
      <c r="F22" s="68">
        <f>IFERROR(INDEX(Items!B$1:H$1000,MATCH(B22,Items!J$1:J$1000,0),6),0)</f>
        <v>0</v>
      </c>
      <c r="G22" s="68"/>
      <c r="H22" s="72" t="str">
        <f>IFERROR(INDEX(Items!B$1:H$1000,MATCH(B22,Items!J$1:J$1000,0),7),"Exempted")</f>
        <v>Exempted</v>
      </c>
      <c r="I22" s="38">
        <f>IFERROR(INDEX('Tax Rates'!A$1:F$20,MATCH(H22,'Tax Rates'!A$1:A$20,0),2),0)</f>
        <v>0</v>
      </c>
      <c r="J22" s="38">
        <f t="shared" si="6"/>
        <v>0</v>
      </c>
      <c r="K22" s="38">
        <f t="shared" si="0"/>
        <v>0</v>
      </c>
      <c r="L22" s="38">
        <f t="shared" si="1"/>
        <v>0</v>
      </c>
      <c r="M22" s="38">
        <f t="shared" si="2"/>
        <v>0</v>
      </c>
      <c r="N22" s="38">
        <f t="shared" si="3"/>
        <v>0</v>
      </c>
      <c r="O22" s="39">
        <f t="shared" si="4"/>
        <v>0</v>
      </c>
      <c r="P22" s="40">
        <f t="shared" si="5"/>
        <v>0</v>
      </c>
    </row>
    <row r="23" spans="1:16" x14ac:dyDescent="0.3">
      <c r="A23" s="12">
        <v>17</v>
      </c>
      <c r="B23" s="1"/>
      <c r="C23" s="71" t="str">
        <f>IFERROR(INDEX(Items!B$1:H$1000,MATCH(B23,Items!J$1:J$1000,0),4),"")</f>
        <v/>
      </c>
      <c r="D23" s="68">
        <f>IFERROR(INDEX(Items!B$1:H$1000,MATCH(B23,Items!J$1:J$1000,0),5),0)</f>
        <v>0</v>
      </c>
      <c r="E23" s="71"/>
      <c r="F23" s="68">
        <f>IFERROR(INDEX(Items!B$1:H$1000,MATCH(B23,Items!J$1:J$1000,0),6),0)</f>
        <v>0</v>
      </c>
      <c r="G23" s="68"/>
      <c r="H23" s="72" t="str">
        <f>IFERROR(INDEX(Items!B$1:H$1000,MATCH(B23,Items!J$1:J$1000,0),7),"Exempted")</f>
        <v>Exempted</v>
      </c>
      <c r="I23" s="38">
        <f>IFERROR(INDEX('Tax Rates'!A$1:F$20,MATCH(H23,'Tax Rates'!A$1:A$20,0),2),0)</f>
        <v>0</v>
      </c>
      <c r="J23" s="38">
        <f t="shared" si="6"/>
        <v>0</v>
      </c>
      <c r="K23" s="38">
        <f t="shared" si="0"/>
        <v>0</v>
      </c>
      <c r="L23" s="38">
        <f t="shared" si="1"/>
        <v>0</v>
      </c>
      <c r="M23" s="38">
        <f t="shared" si="2"/>
        <v>0</v>
      </c>
      <c r="N23" s="38">
        <f t="shared" si="3"/>
        <v>0</v>
      </c>
      <c r="O23" s="39">
        <f t="shared" si="4"/>
        <v>0</v>
      </c>
      <c r="P23" s="40">
        <f t="shared" si="5"/>
        <v>0</v>
      </c>
    </row>
    <row r="24" spans="1:16" x14ac:dyDescent="0.3">
      <c r="A24" s="12">
        <v>18</v>
      </c>
      <c r="B24" s="1"/>
      <c r="C24" s="71" t="str">
        <f>IFERROR(INDEX(Items!B$1:H$1000,MATCH(B24,Items!J$1:J$1000,0),4),"")</f>
        <v/>
      </c>
      <c r="D24" s="68">
        <f>IFERROR(INDEX(Items!B$1:H$1000,MATCH(B24,Items!J$1:J$1000,0),5),0)</f>
        <v>0</v>
      </c>
      <c r="E24" s="71"/>
      <c r="F24" s="68">
        <f>IFERROR(INDEX(Items!B$1:H$1000,MATCH(B24,Items!J$1:J$1000,0),6),0)</f>
        <v>0</v>
      </c>
      <c r="G24" s="68"/>
      <c r="H24" s="72" t="str">
        <f>IFERROR(INDEX(Items!B$1:H$1000,MATCH(B24,Items!J$1:J$1000,0),7),"Exempted")</f>
        <v>Exempted</v>
      </c>
      <c r="I24" s="38">
        <f>IFERROR(INDEX('Tax Rates'!A$1:F$20,MATCH(H24,'Tax Rates'!A$1:A$20,0),2),0)</f>
        <v>0</v>
      </c>
      <c r="J24" s="38">
        <f t="shared" si="6"/>
        <v>0</v>
      </c>
      <c r="K24" s="38">
        <f t="shared" si="0"/>
        <v>0</v>
      </c>
      <c r="L24" s="38">
        <f t="shared" si="1"/>
        <v>0</v>
      </c>
      <c r="M24" s="38">
        <f t="shared" si="2"/>
        <v>0</v>
      </c>
      <c r="N24" s="38">
        <f t="shared" si="3"/>
        <v>0</v>
      </c>
      <c r="O24" s="39">
        <f t="shared" si="4"/>
        <v>0</v>
      </c>
      <c r="P24" s="40">
        <f t="shared" si="5"/>
        <v>0</v>
      </c>
    </row>
    <row r="25" spans="1:16" x14ac:dyDescent="0.3">
      <c r="A25" s="12">
        <v>19</v>
      </c>
      <c r="B25" s="1"/>
      <c r="C25" s="71" t="str">
        <f>IFERROR(INDEX(Items!B$1:H$1000,MATCH(B25,Items!J$1:J$1000,0),4),"")</f>
        <v/>
      </c>
      <c r="D25" s="68">
        <f>IFERROR(INDEX(Items!B$1:H$1000,MATCH(B25,Items!J$1:J$1000,0),5),0)</f>
        <v>0</v>
      </c>
      <c r="E25" s="71"/>
      <c r="F25" s="68">
        <f>IFERROR(INDEX(Items!B$1:H$1000,MATCH(B25,Items!J$1:J$1000,0),6),0)</f>
        <v>0</v>
      </c>
      <c r="G25" s="68"/>
      <c r="H25" s="72" t="str">
        <f>IFERROR(INDEX(Items!B$1:H$1000,MATCH(B25,Items!J$1:J$1000,0),7),"Exempted")</f>
        <v>Exempted</v>
      </c>
      <c r="I25" s="38">
        <f>IFERROR(INDEX('Tax Rates'!A$1:F$20,MATCH(H25,'Tax Rates'!A$1:A$20,0),2),0)</f>
        <v>0</v>
      </c>
      <c r="J25" s="38">
        <f t="shared" si="6"/>
        <v>0</v>
      </c>
      <c r="K25" s="38">
        <f t="shared" si="0"/>
        <v>0</v>
      </c>
      <c r="L25" s="38">
        <f t="shared" si="1"/>
        <v>0</v>
      </c>
      <c r="M25" s="38">
        <f t="shared" si="2"/>
        <v>0</v>
      </c>
      <c r="N25" s="38">
        <f t="shared" si="3"/>
        <v>0</v>
      </c>
      <c r="O25" s="39">
        <f t="shared" si="4"/>
        <v>0</v>
      </c>
      <c r="P25" s="40">
        <f t="shared" si="5"/>
        <v>0</v>
      </c>
    </row>
    <row r="26" spans="1:16" x14ac:dyDescent="0.3">
      <c r="A26" s="12">
        <v>20</v>
      </c>
      <c r="B26" s="1"/>
      <c r="C26" s="71" t="str">
        <f>IFERROR(INDEX(Items!B$1:H$1000,MATCH(B26,Items!J$1:J$1000,0),4),"")</f>
        <v/>
      </c>
      <c r="D26" s="68">
        <f>IFERROR(INDEX(Items!B$1:H$1000,MATCH(B26,Items!J$1:J$1000,0),5),0)</f>
        <v>0</v>
      </c>
      <c r="E26" s="71"/>
      <c r="F26" s="68">
        <f>IFERROR(INDEX(Items!B$1:H$1000,MATCH(B26,Items!J$1:J$1000,0),6),0)</f>
        <v>0</v>
      </c>
      <c r="G26" s="68"/>
      <c r="H26" s="72" t="str">
        <f>IFERROR(INDEX(Items!B$1:H$1000,MATCH(B26,Items!J$1:J$1000,0),7),"Exempted")</f>
        <v>Exempted</v>
      </c>
      <c r="I26" s="38">
        <f>IFERROR(INDEX('Tax Rates'!A$1:F$20,MATCH(H26,'Tax Rates'!A$1:A$20,0),2),0)</f>
        <v>0</v>
      </c>
      <c r="J26" s="38">
        <f t="shared" si="6"/>
        <v>0</v>
      </c>
      <c r="K26" s="38">
        <f t="shared" si="0"/>
        <v>0</v>
      </c>
      <c r="L26" s="38">
        <f t="shared" si="1"/>
        <v>0</v>
      </c>
      <c r="M26" s="38">
        <f t="shared" si="2"/>
        <v>0</v>
      </c>
      <c r="N26" s="38">
        <f t="shared" si="3"/>
        <v>0</v>
      </c>
      <c r="O26" s="39">
        <f t="shared" si="4"/>
        <v>0</v>
      </c>
      <c r="P26" s="40">
        <f t="shared" si="5"/>
        <v>0</v>
      </c>
    </row>
    <row r="27" spans="1:16" x14ac:dyDescent="0.3">
      <c r="A27" s="12">
        <v>21</v>
      </c>
      <c r="B27" s="1"/>
      <c r="C27" s="71" t="str">
        <f>IFERROR(INDEX(Items!B$1:H$1000,MATCH(B27,Items!J$1:J$1000,0),4),"")</f>
        <v/>
      </c>
      <c r="D27" s="68">
        <f>IFERROR(INDEX(Items!B$1:H$1000,MATCH(B27,Items!J$1:J$1000,0),5),0)</f>
        <v>0</v>
      </c>
      <c r="E27" s="71"/>
      <c r="F27" s="68">
        <f>IFERROR(INDEX(Items!B$1:H$1000,MATCH(B27,Items!J$1:J$1000,0),6),0)</f>
        <v>0</v>
      </c>
      <c r="G27" s="68"/>
      <c r="H27" s="72" t="str">
        <f>IFERROR(INDEX(Items!B$1:H$1000,MATCH(B27,Items!J$1:J$1000,0),7),"Exempted")</f>
        <v>Exempted</v>
      </c>
      <c r="I27" s="38">
        <f>IFERROR(INDEX('Tax Rates'!A$1:F$20,MATCH(H27,'Tax Rates'!A$1:A$20,0),2),0)</f>
        <v>0</v>
      </c>
      <c r="J27" s="38">
        <f t="shared" si="6"/>
        <v>0</v>
      </c>
      <c r="K27" s="38">
        <f t="shared" si="0"/>
        <v>0</v>
      </c>
      <c r="L27" s="38">
        <f t="shared" si="1"/>
        <v>0</v>
      </c>
      <c r="M27" s="38">
        <f t="shared" si="2"/>
        <v>0</v>
      </c>
      <c r="N27" s="38">
        <f t="shared" si="3"/>
        <v>0</v>
      </c>
      <c r="O27" s="39">
        <f t="shared" si="4"/>
        <v>0</v>
      </c>
      <c r="P27" s="40">
        <f t="shared" si="5"/>
        <v>0</v>
      </c>
    </row>
    <row r="28" spans="1:16" x14ac:dyDescent="0.3">
      <c r="A28" s="12">
        <v>22</v>
      </c>
      <c r="B28" s="1"/>
      <c r="C28" s="71" t="str">
        <f>IFERROR(INDEX(Items!B$1:H$1000,MATCH(B28,Items!J$1:J$1000,0),4),"")</f>
        <v/>
      </c>
      <c r="D28" s="68">
        <f>IFERROR(INDEX(Items!B$1:H$1000,MATCH(B28,Items!J$1:J$1000,0),5),0)</f>
        <v>0</v>
      </c>
      <c r="E28" s="71"/>
      <c r="F28" s="68">
        <f>IFERROR(INDEX(Items!B$1:H$1000,MATCH(B28,Items!J$1:J$1000,0),6),0)</f>
        <v>0</v>
      </c>
      <c r="G28" s="68"/>
      <c r="H28" s="72" t="str">
        <f>IFERROR(INDEX(Items!B$1:H$1000,MATCH(B28,Items!J$1:J$1000,0),7),"Exempted")</f>
        <v>Exempted</v>
      </c>
      <c r="I28" s="38">
        <f>IFERROR(INDEX('Tax Rates'!A$1:F$20,MATCH(H28,'Tax Rates'!A$1:A$20,0),2),0)</f>
        <v>0</v>
      </c>
      <c r="J28" s="38">
        <f t="shared" si="6"/>
        <v>0</v>
      </c>
      <c r="K28" s="38">
        <f t="shared" si="0"/>
        <v>0</v>
      </c>
      <c r="L28" s="38">
        <f t="shared" si="1"/>
        <v>0</v>
      </c>
      <c r="M28" s="38">
        <f t="shared" si="2"/>
        <v>0</v>
      </c>
      <c r="N28" s="38">
        <f t="shared" si="3"/>
        <v>0</v>
      </c>
      <c r="O28" s="39">
        <f t="shared" si="4"/>
        <v>0</v>
      </c>
      <c r="P28" s="40">
        <f t="shared" si="5"/>
        <v>0</v>
      </c>
    </row>
    <row r="29" spans="1:16" x14ac:dyDescent="0.3">
      <c r="A29" s="12">
        <v>23</v>
      </c>
      <c r="B29" s="1"/>
      <c r="C29" s="71" t="str">
        <f>IFERROR(INDEX(Items!B$1:H$1000,MATCH(B29,Items!J$1:J$1000,0),4),"")</f>
        <v/>
      </c>
      <c r="D29" s="68">
        <f>IFERROR(INDEX(Items!B$1:H$1000,MATCH(B29,Items!J$1:J$1000,0),5),0)</f>
        <v>0</v>
      </c>
      <c r="E29" s="71"/>
      <c r="F29" s="68">
        <f>IFERROR(INDEX(Items!B$1:H$1000,MATCH(B29,Items!J$1:J$1000,0),6),0)</f>
        <v>0</v>
      </c>
      <c r="G29" s="68"/>
      <c r="H29" s="72" t="str">
        <f>IFERROR(INDEX(Items!B$1:H$1000,MATCH(B29,Items!J$1:J$1000,0),7),"Exempted")</f>
        <v>Exempted</v>
      </c>
      <c r="I29" s="38">
        <f>IFERROR(INDEX('Tax Rates'!A$1:F$20,MATCH(H29,'Tax Rates'!A$1:A$20,0),2),0)</f>
        <v>0</v>
      </c>
      <c r="J29" s="38">
        <f t="shared" si="6"/>
        <v>0</v>
      </c>
      <c r="K29" s="38">
        <f t="shared" si="0"/>
        <v>0</v>
      </c>
      <c r="L29" s="38">
        <f t="shared" si="1"/>
        <v>0</v>
      </c>
      <c r="M29" s="38">
        <f t="shared" si="2"/>
        <v>0</v>
      </c>
      <c r="N29" s="38">
        <f t="shared" si="3"/>
        <v>0</v>
      </c>
      <c r="O29" s="39">
        <f t="shared" si="4"/>
        <v>0</v>
      </c>
      <c r="P29" s="40">
        <f t="shared" si="5"/>
        <v>0</v>
      </c>
    </row>
    <row r="30" spans="1:16" x14ac:dyDescent="0.3">
      <c r="A30" s="12">
        <v>24</v>
      </c>
      <c r="B30" s="1"/>
      <c r="C30" s="71" t="str">
        <f>IFERROR(INDEX(Items!B$1:H$1000,MATCH(B30,Items!J$1:J$1000,0),4),"")</f>
        <v/>
      </c>
      <c r="D30" s="68">
        <f>IFERROR(INDEX(Items!B$1:H$1000,MATCH(B30,Items!J$1:J$1000,0),5),0)</f>
        <v>0</v>
      </c>
      <c r="E30" s="71"/>
      <c r="F30" s="68">
        <f>IFERROR(INDEX(Items!B$1:H$1000,MATCH(B30,Items!J$1:J$1000,0),6),0)</f>
        <v>0</v>
      </c>
      <c r="G30" s="68"/>
      <c r="H30" s="72" t="str">
        <f>IFERROR(INDEX(Items!B$1:H$1000,MATCH(B30,Items!J$1:J$1000,0),7),"Exempted")</f>
        <v>Exempted</v>
      </c>
      <c r="I30" s="38">
        <f>IFERROR(INDEX('Tax Rates'!A$1:F$20,MATCH(H30,'Tax Rates'!A$1:A$20,0),2),0)</f>
        <v>0</v>
      </c>
      <c r="J30" s="38">
        <f t="shared" si="6"/>
        <v>0</v>
      </c>
      <c r="K30" s="38">
        <f t="shared" si="0"/>
        <v>0</v>
      </c>
      <c r="L30" s="38">
        <f t="shared" si="1"/>
        <v>0</v>
      </c>
      <c r="M30" s="38">
        <f t="shared" si="2"/>
        <v>0</v>
      </c>
      <c r="N30" s="38">
        <f t="shared" si="3"/>
        <v>0</v>
      </c>
      <c r="O30" s="39">
        <f t="shared" si="4"/>
        <v>0</v>
      </c>
      <c r="P30" s="40">
        <f t="shared" si="5"/>
        <v>0</v>
      </c>
    </row>
    <row r="31" spans="1:16" x14ac:dyDescent="0.3">
      <c r="A31" s="12">
        <v>25</v>
      </c>
      <c r="B31" s="1"/>
      <c r="C31" s="71" t="str">
        <f>IFERROR(INDEX(Items!B$1:H$1000,MATCH(B31,Items!J$1:J$1000,0),4),"")</f>
        <v/>
      </c>
      <c r="D31" s="68">
        <f>IFERROR(INDEX(Items!B$1:H$1000,MATCH(B31,Items!J$1:J$1000,0),5),0)</f>
        <v>0</v>
      </c>
      <c r="E31" s="71"/>
      <c r="F31" s="68">
        <f>IFERROR(INDEX(Items!B$1:H$1000,MATCH(B31,Items!J$1:J$1000,0),6),0)</f>
        <v>0</v>
      </c>
      <c r="G31" s="68"/>
      <c r="H31" s="72" t="str">
        <f>IFERROR(INDEX(Items!B$1:H$1000,MATCH(B31,Items!J$1:J$1000,0),7),"Exempted")</f>
        <v>Exempted</v>
      </c>
      <c r="I31" s="38">
        <f>IFERROR(INDEX('Tax Rates'!A$1:F$20,MATCH(H31,'Tax Rates'!A$1:A$20,0),2),0)</f>
        <v>0</v>
      </c>
      <c r="J31" s="38">
        <f t="shared" si="6"/>
        <v>0</v>
      </c>
      <c r="K31" s="38">
        <f t="shared" si="0"/>
        <v>0</v>
      </c>
      <c r="L31" s="38">
        <f t="shared" si="1"/>
        <v>0</v>
      </c>
      <c r="M31" s="38">
        <f t="shared" si="2"/>
        <v>0</v>
      </c>
      <c r="N31" s="38">
        <f t="shared" si="3"/>
        <v>0</v>
      </c>
      <c r="O31" s="39">
        <f t="shared" si="4"/>
        <v>0</v>
      </c>
      <c r="P31" s="40">
        <f t="shared" si="5"/>
        <v>0</v>
      </c>
    </row>
    <row r="32" spans="1:16" x14ac:dyDescent="0.3">
      <c r="A32" s="12">
        <v>26</v>
      </c>
      <c r="B32" s="1"/>
      <c r="C32" s="71" t="str">
        <f>IFERROR(INDEX(Items!B$1:H$1000,MATCH(B32,Items!J$1:J$1000,0),4),"")</f>
        <v/>
      </c>
      <c r="D32" s="68">
        <f>IFERROR(INDEX(Items!B$1:H$1000,MATCH(B32,Items!J$1:J$1000,0),5),0)</f>
        <v>0</v>
      </c>
      <c r="E32" s="71"/>
      <c r="F32" s="68">
        <f>IFERROR(INDEX(Items!B$1:H$1000,MATCH(B32,Items!J$1:J$1000,0),6),0)</f>
        <v>0</v>
      </c>
      <c r="G32" s="68"/>
      <c r="H32" s="72" t="str">
        <f>IFERROR(INDEX(Items!B$1:H$1000,MATCH(B32,Items!J$1:J$1000,0),7),"Exempted")</f>
        <v>Exempted</v>
      </c>
      <c r="I32" s="38">
        <f>IFERROR(INDEX('Tax Rates'!A$1:F$20,MATCH(H32,'Tax Rates'!A$1:A$20,0),2),0)</f>
        <v>0</v>
      </c>
      <c r="J32" s="38">
        <f t="shared" si="6"/>
        <v>0</v>
      </c>
      <c r="K32" s="38">
        <f t="shared" si="0"/>
        <v>0</v>
      </c>
      <c r="L32" s="38">
        <f t="shared" si="1"/>
        <v>0</v>
      </c>
      <c r="M32" s="38">
        <f t="shared" si="2"/>
        <v>0</v>
      </c>
      <c r="N32" s="38">
        <f t="shared" si="3"/>
        <v>0</v>
      </c>
      <c r="O32" s="39">
        <f t="shared" si="4"/>
        <v>0</v>
      </c>
      <c r="P32" s="40">
        <f t="shared" si="5"/>
        <v>0</v>
      </c>
    </row>
    <row r="33" spans="1:16" x14ac:dyDescent="0.3">
      <c r="A33" s="12">
        <v>27</v>
      </c>
      <c r="B33" s="1"/>
      <c r="C33" s="71" t="str">
        <f>IFERROR(INDEX(Items!B$1:H$1000,MATCH(B33,Items!J$1:J$1000,0),4),"")</f>
        <v/>
      </c>
      <c r="D33" s="68">
        <f>IFERROR(INDEX(Items!B$1:H$1000,MATCH(B33,Items!J$1:J$1000,0),5),0)</f>
        <v>0</v>
      </c>
      <c r="E33" s="71"/>
      <c r="F33" s="68">
        <f>IFERROR(INDEX(Items!B$1:H$1000,MATCH(B33,Items!J$1:J$1000,0),6),0)</f>
        <v>0</v>
      </c>
      <c r="G33" s="68"/>
      <c r="H33" s="72" t="str">
        <f>IFERROR(INDEX(Items!B$1:H$1000,MATCH(B33,Items!J$1:J$1000,0),7),"Exempted")</f>
        <v>Exempted</v>
      </c>
      <c r="I33" s="38">
        <f>IFERROR(INDEX('Tax Rates'!A$1:F$20,MATCH(H33,'Tax Rates'!A$1:A$20,0),2),0)</f>
        <v>0</v>
      </c>
      <c r="J33" s="38">
        <f t="shared" si="6"/>
        <v>0</v>
      </c>
      <c r="K33" s="38">
        <f t="shared" si="0"/>
        <v>0</v>
      </c>
      <c r="L33" s="38">
        <f t="shared" si="1"/>
        <v>0</v>
      </c>
      <c r="M33" s="38">
        <f t="shared" si="2"/>
        <v>0</v>
      </c>
      <c r="N33" s="38">
        <f t="shared" si="3"/>
        <v>0</v>
      </c>
      <c r="O33" s="39">
        <f t="shared" si="4"/>
        <v>0</v>
      </c>
      <c r="P33" s="40">
        <f t="shared" si="5"/>
        <v>0</v>
      </c>
    </row>
    <row r="34" spans="1:16" x14ac:dyDescent="0.3">
      <c r="A34" s="12">
        <v>28</v>
      </c>
      <c r="B34" s="1"/>
      <c r="C34" s="71" t="str">
        <f>IFERROR(INDEX(Items!B$1:H$1000,MATCH(B34,Items!J$1:J$1000,0),4),"")</f>
        <v/>
      </c>
      <c r="D34" s="68">
        <f>IFERROR(INDEX(Items!B$1:H$1000,MATCH(B34,Items!J$1:J$1000,0),5),0)</f>
        <v>0</v>
      </c>
      <c r="E34" s="71"/>
      <c r="F34" s="68">
        <f>IFERROR(INDEX(Items!B$1:H$1000,MATCH(B34,Items!J$1:J$1000,0),6),0)</f>
        <v>0</v>
      </c>
      <c r="G34" s="68"/>
      <c r="H34" s="72" t="str">
        <f>IFERROR(INDEX(Items!B$1:H$1000,MATCH(B34,Items!J$1:J$1000,0),7),"Exempted")</f>
        <v>Exempted</v>
      </c>
      <c r="I34" s="38">
        <f>IFERROR(INDEX('Tax Rates'!A$1:F$20,MATCH(H34,'Tax Rates'!A$1:A$20,0),2),0)</f>
        <v>0</v>
      </c>
      <c r="J34" s="38">
        <f t="shared" si="6"/>
        <v>0</v>
      </c>
      <c r="K34" s="38">
        <f t="shared" si="0"/>
        <v>0</v>
      </c>
      <c r="L34" s="38">
        <f t="shared" si="1"/>
        <v>0</v>
      </c>
      <c r="M34" s="38">
        <f t="shared" si="2"/>
        <v>0</v>
      </c>
      <c r="N34" s="38">
        <f t="shared" si="3"/>
        <v>0</v>
      </c>
      <c r="O34" s="39">
        <f t="shared" si="4"/>
        <v>0</v>
      </c>
      <c r="P34" s="40">
        <f t="shared" si="5"/>
        <v>0</v>
      </c>
    </row>
    <row r="35" spans="1:16" x14ac:dyDescent="0.3">
      <c r="A35" s="12">
        <v>29</v>
      </c>
      <c r="B35" s="1"/>
      <c r="C35" s="71" t="str">
        <f>IFERROR(INDEX(Items!B$1:H$1000,MATCH(B35,Items!J$1:J$1000,0),4),"")</f>
        <v/>
      </c>
      <c r="D35" s="68">
        <f>IFERROR(INDEX(Items!B$1:H$1000,MATCH(B35,Items!J$1:J$1000,0),5),0)</f>
        <v>0</v>
      </c>
      <c r="E35" s="71"/>
      <c r="F35" s="68">
        <f>IFERROR(INDEX(Items!B$1:H$1000,MATCH(B35,Items!J$1:J$1000,0),6),0)</f>
        <v>0</v>
      </c>
      <c r="G35" s="68"/>
      <c r="H35" s="72" t="str">
        <f>IFERROR(INDEX(Items!B$1:H$1000,MATCH(B35,Items!J$1:J$1000,0),7),"Exempted")</f>
        <v>Exempted</v>
      </c>
      <c r="I35" s="38">
        <f>IFERROR(INDEX('Tax Rates'!A$1:F$20,MATCH(H35,'Tax Rates'!A$1:A$20,0),2),0)</f>
        <v>0</v>
      </c>
      <c r="J35" s="38">
        <f t="shared" si="6"/>
        <v>0</v>
      </c>
      <c r="K35" s="38">
        <f t="shared" si="0"/>
        <v>0</v>
      </c>
      <c r="L35" s="38">
        <f t="shared" si="1"/>
        <v>0</v>
      </c>
      <c r="M35" s="38">
        <f t="shared" si="2"/>
        <v>0</v>
      </c>
      <c r="N35" s="38">
        <f t="shared" si="3"/>
        <v>0</v>
      </c>
      <c r="O35" s="39">
        <f t="shared" si="4"/>
        <v>0</v>
      </c>
      <c r="P35" s="40">
        <f t="shared" si="5"/>
        <v>0</v>
      </c>
    </row>
    <row r="36" spans="1:16" x14ac:dyDescent="0.3">
      <c r="A36" s="12">
        <v>30</v>
      </c>
      <c r="B36" s="1"/>
      <c r="C36" s="71" t="str">
        <f>IFERROR(INDEX(Items!B$1:H$1000,MATCH(B36,Items!J$1:J$1000,0),4),"")</f>
        <v/>
      </c>
      <c r="D36" s="68">
        <f>IFERROR(INDEX(Items!B$1:H$1000,MATCH(B36,Items!J$1:J$1000,0),5),0)</f>
        <v>0</v>
      </c>
      <c r="E36" s="71"/>
      <c r="F36" s="68">
        <f>IFERROR(INDEX(Items!B$1:H$1000,MATCH(B36,Items!J$1:J$1000,0),6),0)</f>
        <v>0</v>
      </c>
      <c r="G36" s="68"/>
      <c r="H36" s="72" t="str">
        <f>IFERROR(INDEX(Items!B$1:H$1000,MATCH(B36,Items!J$1:J$1000,0),7),"Exempted")</f>
        <v>Exempted</v>
      </c>
      <c r="I36" s="38">
        <f>IFERROR(INDEX('Tax Rates'!A$1:F$20,MATCH(H36,'Tax Rates'!A$1:A$20,0),2),0)</f>
        <v>0</v>
      </c>
      <c r="J36" s="38">
        <f t="shared" si="6"/>
        <v>0</v>
      </c>
      <c r="K36" s="38">
        <f t="shared" si="0"/>
        <v>0</v>
      </c>
      <c r="L36" s="38">
        <f t="shared" si="1"/>
        <v>0</v>
      </c>
      <c r="M36" s="38">
        <f t="shared" si="2"/>
        <v>0</v>
      </c>
      <c r="N36" s="38">
        <f t="shared" si="3"/>
        <v>0</v>
      </c>
      <c r="O36" s="39">
        <f t="shared" si="4"/>
        <v>0</v>
      </c>
      <c r="P36" s="40">
        <f t="shared" si="5"/>
        <v>0</v>
      </c>
    </row>
    <row r="37" spans="1:16" x14ac:dyDescent="0.3">
      <c r="A37" s="12">
        <v>31</v>
      </c>
      <c r="B37" s="1"/>
      <c r="C37" s="71" t="str">
        <f>IFERROR(INDEX(Items!B$1:H$1000,MATCH(B37,Items!J$1:J$1000,0),4),"")</f>
        <v/>
      </c>
      <c r="D37" s="68">
        <f>IFERROR(INDEX(Items!B$1:H$1000,MATCH(B37,Items!J$1:J$1000,0),5),0)</f>
        <v>0</v>
      </c>
      <c r="E37" s="71"/>
      <c r="F37" s="68">
        <f>IFERROR(INDEX(Items!B$1:H$1000,MATCH(B37,Items!J$1:J$1000,0),6),0)</f>
        <v>0</v>
      </c>
      <c r="G37" s="68"/>
      <c r="H37" s="72" t="str">
        <f>IFERROR(INDEX(Items!B$1:H$1000,MATCH(B37,Items!J$1:J$1000,0),7),"Exempted")</f>
        <v>Exempted</v>
      </c>
      <c r="I37" s="38">
        <f>IFERROR(INDEX('Tax Rates'!A$1:F$20,MATCH(H37,'Tax Rates'!A$1:A$20,0),2),0)</f>
        <v>0</v>
      </c>
      <c r="J37" s="38">
        <f t="shared" si="6"/>
        <v>0</v>
      </c>
      <c r="K37" s="38">
        <f t="shared" si="0"/>
        <v>0</v>
      </c>
      <c r="L37" s="38">
        <f t="shared" si="1"/>
        <v>0</v>
      </c>
      <c r="M37" s="38">
        <f t="shared" si="2"/>
        <v>0</v>
      </c>
      <c r="N37" s="38">
        <f t="shared" si="3"/>
        <v>0</v>
      </c>
      <c r="O37" s="39">
        <f t="shared" si="4"/>
        <v>0</v>
      </c>
      <c r="P37" s="40">
        <f t="shared" si="5"/>
        <v>0</v>
      </c>
    </row>
    <row r="38" spans="1:16" x14ac:dyDescent="0.3">
      <c r="A38" s="12">
        <v>32</v>
      </c>
      <c r="B38" s="1"/>
      <c r="C38" s="71" t="str">
        <f>IFERROR(INDEX(Items!B$1:H$1000,MATCH(B38,Items!J$1:J$1000,0),4),"")</f>
        <v/>
      </c>
      <c r="D38" s="68">
        <f>IFERROR(INDEX(Items!B$1:H$1000,MATCH(B38,Items!J$1:J$1000,0),5),0)</f>
        <v>0</v>
      </c>
      <c r="E38" s="71"/>
      <c r="F38" s="68">
        <f>IFERROR(INDEX(Items!B$1:H$1000,MATCH(B38,Items!J$1:J$1000,0),6),0)</f>
        <v>0</v>
      </c>
      <c r="G38" s="68"/>
      <c r="H38" s="72" t="str">
        <f>IFERROR(INDEX(Items!B$1:H$1000,MATCH(B38,Items!J$1:J$1000,0),7),"Exempted")</f>
        <v>Exempted</v>
      </c>
      <c r="I38" s="38">
        <f>IFERROR(INDEX('Tax Rates'!A$1:F$20,MATCH(H38,'Tax Rates'!A$1:A$20,0),2),0)</f>
        <v>0</v>
      </c>
      <c r="J38" s="38">
        <f t="shared" si="6"/>
        <v>0</v>
      </c>
      <c r="K38" s="38">
        <f t="shared" si="0"/>
        <v>0</v>
      </c>
      <c r="L38" s="38">
        <f t="shared" si="1"/>
        <v>0</v>
      </c>
      <c r="M38" s="38">
        <f t="shared" si="2"/>
        <v>0</v>
      </c>
      <c r="N38" s="38">
        <f t="shared" si="3"/>
        <v>0</v>
      </c>
      <c r="O38" s="39">
        <f t="shared" si="4"/>
        <v>0</v>
      </c>
      <c r="P38" s="40">
        <f t="shared" si="5"/>
        <v>0</v>
      </c>
    </row>
    <row r="39" spans="1:16" x14ac:dyDescent="0.3">
      <c r="A39" s="12">
        <v>33</v>
      </c>
      <c r="B39" s="1"/>
      <c r="C39" s="71" t="str">
        <f>IFERROR(INDEX(Items!B$1:H$1000,MATCH(B39,Items!J$1:J$1000,0),4),"")</f>
        <v/>
      </c>
      <c r="D39" s="68">
        <f>IFERROR(INDEX(Items!B$1:H$1000,MATCH(B39,Items!J$1:J$1000,0),5),0)</f>
        <v>0</v>
      </c>
      <c r="E39" s="71"/>
      <c r="F39" s="68">
        <f>IFERROR(INDEX(Items!B$1:H$1000,MATCH(B39,Items!J$1:J$1000,0),6),0)</f>
        <v>0</v>
      </c>
      <c r="G39" s="68"/>
      <c r="H39" s="72" t="str">
        <f>IFERROR(INDEX(Items!B$1:H$1000,MATCH(B39,Items!J$1:J$1000,0),7),"Exempted")</f>
        <v>Exempted</v>
      </c>
      <c r="I39" s="38">
        <f>IFERROR(INDEX('Tax Rates'!A$1:F$20,MATCH(H39,'Tax Rates'!A$1:A$20,0),2),0)</f>
        <v>0</v>
      </c>
      <c r="J39" s="38">
        <f t="shared" si="6"/>
        <v>0</v>
      </c>
      <c r="K39" s="38">
        <f t="shared" si="0"/>
        <v>0</v>
      </c>
      <c r="L39" s="38">
        <f t="shared" si="1"/>
        <v>0</v>
      </c>
      <c r="M39" s="38">
        <f t="shared" si="2"/>
        <v>0</v>
      </c>
      <c r="N39" s="38">
        <f t="shared" si="3"/>
        <v>0</v>
      </c>
      <c r="O39" s="39">
        <f t="shared" si="4"/>
        <v>0</v>
      </c>
      <c r="P39" s="40">
        <f t="shared" si="5"/>
        <v>0</v>
      </c>
    </row>
    <row r="40" spans="1:16" x14ac:dyDescent="0.3">
      <c r="A40" s="12">
        <v>34</v>
      </c>
      <c r="B40" s="1"/>
      <c r="C40" s="71" t="str">
        <f>IFERROR(INDEX(Items!B$1:H$1000,MATCH(B40,Items!J$1:J$1000,0),4),"")</f>
        <v/>
      </c>
      <c r="D40" s="68">
        <f>IFERROR(INDEX(Items!B$1:H$1000,MATCH(B40,Items!J$1:J$1000,0),5),0)</f>
        <v>0</v>
      </c>
      <c r="E40" s="71"/>
      <c r="F40" s="68">
        <f>IFERROR(INDEX(Items!B$1:H$1000,MATCH(B40,Items!J$1:J$1000,0),6),0)</f>
        <v>0</v>
      </c>
      <c r="G40" s="68"/>
      <c r="H40" s="72" t="str">
        <f>IFERROR(INDEX(Items!B$1:H$1000,MATCH(B40,Items!J$1:J$1000,0),7),"Exempted")</f>
        <v>Exempted</v>
      </c>
      <c r="I40" s="38">
        <f>IFERROR(INDEX('Tax Rates'!A$1:F$20,MATCH(H40,'Tax Rates'!A$1:A$20,0),2),0)</f>
        <v>0</v>
      </c>
      <c r="J40" s="38">
        <f t="shared" si="6"/>
        <v>0</v>
      </c>
      <c r="K40" s="38">
        <f t="shared" si="0"/>
        <v>0</v>
      </c>
      <c r="L40" s="38">
        <f t="shared" si="1"/>
        <v>0</v>
      </c>
      <c r="M40" s="38">
        <f t="shared" si="2"/>
        <v>0</v>
      </c>
      <c r="N40" s="38">
        <f t="shared" si="3"/>
        <v>0</v>
      </c>
      <c r="O40" s="39">
        <f t="shared" si="4"/>
        <v>0</v>
      </c>
      <c r="P40" s="40">
        <f t="shared" si="5"/>
        <v>0</v>
      </c>
    </row>
    <row r="41" spans="1:16" x14ac:dyDescent="0.3">
      <c r="A41" s="12">
        <v>35</v>
      </c>
      <c r="B41" s="1"/>
      <c r="C41" s="71" t="str">
        <f>IFERROR(INDEX(Items!B$1:H$1000,MATCH(B41,Items!J$1:J$1000,0),4),"")</f>
        <v/>
      </c>
      <c r="D41" s="68">
        <f>IFERROR(INDEX(Items!B$1:H$1000,MATCH(B41,Items!J$1:J$1000,0),5),0)</f>
        <v>0</v>
      </c>
      <c r="E41" s="71"/>
      <c r="F41" s="68">
        <f>IFERROR(INDEX(Items!B$1:H$1000,MATCH(B41,Items!J$1:J$1000,0),6),0)</f>
        <v>0</v>
      </c>
      <c r="G41" s="68"/>
      <c r="H41" s="72" t="str">
        <f>IFERROR(INDEX(Items!B$1:H$1000,MATCH(B41,Items!J$1:J$1000,0),7),"Exempted")</f>
        <v>Exempted</v>
      </c>
      <c r="I41" s="38">
        <f>IFERROR(INDEX('Tax Rates'!A$1:F$20,MATCH(H41,'Tax Rates'!A$1:A$20,0),2),0)</f>
        <v>0</v>
      </c>
      <c r="J41" s="38">
        <f t="shared" si="6"/>
        <v>0</v>
      </c>
      <c r="K41" s="38">
        <f t="shared" si="0"/>
        <v>0</v>
      </c>
      <c r="L41" s="38">
        <f t="shared" si="1"/>
        <v>0</v>
      </c>
      <c r="M41" s="38">
        <f t="shared" si="2"/>
        <v>0</v>
      </c>
      <c r="N41" s="38">
        <f t="shared" si="3"/>
        <v>0</v>
      </c>
      <c r="O41" s="39">
        <f t="shared" si="4"/>
        <v>0</v>
      </c>
      <c r="P41" s="40">
        <f t="shared" si="5"/>
        <v>0</v>
      </c>
    </row>
    <row r="42" spans="1:16" x14ac:dyDescent="0.3">
      <c r="A42" s="12">
        <v>36</v>
      </c>
      <c r="B42" s="1"/>
      <c r="C42" s="71" t="str">
        <f>IFERROR(INDEX(Items!B$1:H$1000,MATCH(B42,Items!J$1:J$1000,0),4),"")</f>
        <v/>
      </c>
      <c r="D42" s="68">
        <f>IFERROR(INDEX(Items!B$1:H$1000,MATCH(B42,Items!J$1:J$1000,0),5),0)</f>
        <v>0</v>
      </c>
      <c r="E42" s="71"/>
      <c r="F42" s="68">
        <f>IFERROR(INDEX(Items!B$1:H$1000,MATCH(B42,Items!J$1:J$1000,0),6),0)</f>
        <v>0</v>
      </c>
      <c r="G42" s="68"/>
      <c r="H42" s="72" t="str">
        <f>IFERROR(INDEX(Items!B$1:H$1000,MATCH(B42,Items!J$1:J$1000,0),7),"Exempted")</f>
        <v>Exempted</v>
      </c>
      <c r="I42" s="38">
        <f>IFERROR(INDEX('Tax Rates'!A$1:F$20,MATCH(H42,'Tax Rates'!A$1:A$20,0),2),0)</f>
        <v>0</v>
      </c>
      <c r="J42" s="38">
        <f t="shared" si="6"/>
        <v>0</v>
      </c>
      <c r="K42" s="38">
        <f t="shared" si="0"/>
        <v>0</v>
      </c>
      <c r="L42" s="38">
        <f t="shared" si="1"/>
        <v>0</v>
      </c>
      <c r="M42" s="38">
        <f t="shared" si="2"/>
        <v>0</v>
      </c>
      <c r="N42" s="38">
        <f t="shared" si="3"/>
        <v>0</v>
      </c>
      <c r="O42" s="39">
        <f t="shared" si="4"/>
        <v>0</v>
      </c>
      <c r="P42" s="40">
        <f t="shared" si="5"/>
        <v>0</v>
      </c>
    </row>
    <row r="43" spans="1:16" x14ac:dyDescent="0.3">
      <c r="A43" s="12">
        <v>37</v>
      </c>
      <c r="B43" s="1"/>
      <c r="C43" s="71" t="str">
        <f>IFERROR(INDEX(Items!B$1:H$1000,MATCH(B43,Items!J$1:J$1000,0),4),"")</f>
        <v/>
      </c>
      <c r="D43" s="68">
        <f>IFERROR(INDEX(Items!B$1:H$1000,MATCH(B43,Items!J$1:J$1000,0),5),0)</f>
        <v>0</v>
      </c>
      <c r="E43" s="71"/>
      <c r="F43" s="68">
        <f>IFERROR(INDEX(Items!B$1:H$1000,MATCH(B43,Items!J$1:J$1000,0),6),0)</f>
        <v>0</v>
      </c>
      <c r="G43" s="68"/>
      <c r="H43" s="72" t="str">
        <f>IFERROR(INDEX(Items!B$1:H$1000,MATCH(B43,Items!J$1:J$1000,0),7),"Exempted")</f>
        <v>Exempted</v>
      </c>
      <c r="I43" s="38">
        <f>IFERROR(INDEX('Tax Rates'!A$1:F$20,MATCH(H43,'Tax Rates'!A$1:A$20,0),2),0)</f>
        <v>0</v>
      </c>
      <c r="J43" s="38">
        <f t="shared" si="6"/>
        <v>0</v>
      </c>
      <c r="K43" s="38">
        <f t="shared" si="0"/>
        <v>0</v>
      </c>
      <c r="L43" s="38">
        <f t="shared" si="1"/>
        <v>0</v>
      </c>
      <c r="M43" s="38">
        <f t="shared" si="2"/>
        <v>0</v>
      </c>
      <c r="N43" s="38">
        <f t="shared" si="3"/>
        <v>0</v>
      </c>
      <c r="O43" s="39">
        <f t="shared" si="4"/>
        <v>0</v>
      </c>
      <c r="P43" s="40">
        <f t="shared" si="5"/>
        <v>0</v>
      </c>
    </row>
    <row r="44" spans="1:16" x14ac:dyDescent="0.3">
      <c r="A44" s="12">
        <v>38</v>
      </c>
      <c r="B44" s="1"/>
      <c r="C44" s="71" t="str">
        <f>IFERROR(INDEX(Items!B$1:H$1000,MATCH(B44,Items!J$1:J$1000,0),4),"")</f>
        <v/>
      </c>
      <c r="D44" s="68">
        <f>IFERROR(INDEX(Items!B$1:H$1000,MATCH(B44,Items!J$1:J$1000,0),5),0)</f>
        <v>0</v>
      </c>
      <c r="E44" s="71"/>
      <c r="F44" s="68">
        <f>IFERROR(INDEX(Items!B$1:H$1000,MATCH(B44,Items!J$1:J$1000,0),6),0)</f>
        <v>0</v>
      </c>
      <c r="G44" s="68"/>
      <c r="H44" s="72" t="str">
        <f>IFERROR(INDEX(Items!B$1:H$1000,MATCH(B44,Items!J$1:J$1000,0),7),"Exempted")</f>
        <v>Exempted</v>
      </c>
      <c r="I44" s="38">
        <f>IFERROR(INDEX('Tax Rates'!A$1:F$20,MATCH(H44,'Tax Rates'!A$1:A$20,0),2),0)</f>
        <v>0</v>
      </c>
      <c r="J44" s="38">
        <f t="shared" si="6"/>
        <v>0</v>
      </c>
      <c r="K44" s="38">
        <f t="shared" si="0"/>
        <v>0</v>
      </c>
      <c r="L44" s="38">
        <f t="shared" si="1"/>
        <v>0</v>
      </c>
      <c r="M44" s="38">
        <f t="shared" si="2"/>
        <v>0</v>
      </c>
      <c r="N44" s="38">
        <f t="shared" si="3"/>
        <v>0</v>
      </c>
      <c r="O44" s="39">
        <f t="shared" si="4"/>
        <v>0</v>
      </c>
      <c r="P44" s="40">
        <f t="shared" si="5"/>
        <v>0</v>
      </c>
    </row>
    <row r="45" spans="1:16" x14ac:dyDescent="0.3">
      <c r="A45" s="12">
        <v>39</v>
      </c>
      <c r="B45" s="1"/>
      <c r="C45" s="71" t="str">
        <f>IFERROR(INDEX(Items!B$1:H$1000,MATCH(B45,Items!J$1:J$1000,0),4),"")</f>
        <v/>
      </c>
      <c r="D45" s="68">
        <f>IFERROR(INDEX(Items!B$1:H$1000,MATCH(B45,Items!J$1:J$1000,0),5),0)</f>
        <v>0</v>
      </c>
      <c r="E45" s="71"/>
      <c r="F45" s="68">
        <f>IFERROR(INDEX(Items!B$1:H$1000,MATCH(B45,Items!J$1:J$1000,0),6),0)</f>
        <v>0</v>
      </c>
      <c r="G45" s="68"/>
      <c r="H45" s="72" t="str">
        <f>IFERROR(INDEX(Items!B$1:H$1000,MATCH(B45,Items!J$1:J$1000,0),7),"Exempted")</f>
        <v>Exempted</v>
      </c>
      <c r="I45" s="38">
        <f>IFERROR(INDEX('Tax Rates'!A$1:F$20,MATCH(H45,'Tax Rates'!A$1:A$20,0),2),0)</f>
        <v>0</v>
      </c>
      <c r="J45" s="38">
        <f t="shared" si="6"/>
        <v>0</v>
      </c>
      <c r="K45" s="38">
        <f t="shared" si="0"/>
        <v>0</v>
      </c>
      <c r="L45" s="38">
        <f t="shared" si="1"/>
        <v>0</v>
      </c>
      <c r="M45" s="38">
        <f t="shared" si="2"/>
        <v>0</v>
      </c>
      <c r="N45" s="38">
        <f t="shared" si="3"/>
        <v>0</v>
      </c>
      <c r="O45" s="39">
        <f t="shared" si="4"/>
        <v>0</v>
      </c>
      <c r="P45" s="40">
        <f t="shared" si="5"/>
        <v>0</v>
      </c>
    </row>
    <row r="46" spans="1:16" x14ac:dyDescent="0.3">
      <c r="A46" s="12">
        <v>40</v>
      </c>
      <c r="B46" s="1"/>
      <c r="C46" s="71" t="str">
        <f>IFERROR(INDEX(Items!B$1:H$1000,MATCH(B46,Items!J$1:J$1000,0),4),"")</f>
        <v/>
      </c>
      <c r="D46" s="68">
        <f>IFERROR(INDEX(Items!B$1:H$1000,MATCH(B46,Items!J$1:J$1000,0),5),0)</f>
        <v>0</v>
      </c>
      <c r="E46" s="71"/>
      <c r="F46" s="68">
        <f>IFERROR(INDEX(Items!B$1:H$1000,MATCH(B46,Items!J$1:J$1000,0),6),0)</f>
        <v>0</v>
      </c>
      <c r="G46" s="68"/>
      <c r="H46" s="72" t="str">
        <f>IFERROR(INDEX(Items!B$1:H$1000,MATCH(B46,Items!J$1:J$1000,0),7),"Exempted")</f>
        <v>Exempted</v>
      </c>
      <c r="I46" s="38">
        <f>IFERROR(INDEX('Tax Rates'!A$1:F$20,MATCH(H46,'Tax Rates'!A$1:A$20,0),2),0)</f>
        <v>0</v>
      </c>
      <c r="J46" s="38">
        <f t="shared" si="6"/>
        <v>0</v>
      </c>
      <c r="K46" s="38">
        <f t="shared" si="0"/>
        <v>0</v>
      </c>
      <c r="L46" s="38">
        <f t="shared" si="1"/>
        <v>0</v>
      </c>
      <c r="M46" s="38">
        <f t="shared" si="2"/>
        <v>0</v>
      </c>
      <c r="N46" s="38">
        <f t="shared" si="3"/>
        <v>0</v>
      </c>
      <c r="O46" s="39">
        <f t="shared" si="4"/>
        <v>0</v>
      </c>
      <c r="P46" s="40">
        <f t="shared" si="5"/>
        <v>0</v>
      </c>
    </row>
    <row r="47" spans="1:16" x14ac:dyDescent="0.3">
      <c r="A47" s="12">
        <v>41</v>
      </c>
      <c r="B47" s="1"/>
      <c r="C47" s="71" t="str">
        <f>IFERROR(INDEX(Items!B$1:H$1000,MATCH(B47,Items!J$1:J$1000,0),4),"")</f>
        <v/>
      </c>
      <c r="D47" s="68">
        <f>IFERROR(INDEX(Items!B$1:H$1000,MATCH(B47,Items!J$1:J$1000,0),5),0)</f>
        <v>0</v>
      </c>
      <c r="E47" s="71"/>
      <c r="F47" s="68">
        <f>IFERROR(INDEX(Items!B$1:H$1000,MATCH(B47,Items!J$1:J$1000,0),6),0)</f>
        <v>0</v>
      </c>
      <c r="G47" s="68"/>
      <c r="H47" s="72" t="str">
        <f>IFERROR(INDEX(Items!B$1:H$1000,MATCH(B47,Items!J$1:J$1000,0),7),"Exempted")</f>
        <v>Exempted</v>
      </c>
      <c r="I47" s="38">
        <f>IFERROR(INDEX('Tax Rates'!A$1:F$20,MATCH(H47,'Tax Rates'!A$1:A$20,0),2),0)</f>
        <v>0</v>
      </c>
      <c r="J47" s="38">
        <f t="shared" si="6"/>
        <v>0</v>
      </c>
      <c r="K47" s="38">
        <f t="shared" si="0"/>
        <v>0</v>
      </c>
      <c r="L47" s="38">
        <f t="shared" si="1"/>
        <v>0</v>
      </c>
      <c r="M47" s="38">
        <f t="shared" si="2"/>
        <v>0</v>
      </c>
      <c r="N47" s="38">
        <f t="shared" si="3"/>
        <v>0</v>
      </c>
      <c r="O47" s="39">
        <f t="shared" si="4"/>
        <v>0</v>
      </c>
      <c r="P47" s="40">
        <f t="shared" si="5"/>
        <v>0</v>
      </c>
    </row>
    <row r="48" spans="1:16" x14ac:dyDescent="0.3">
      <c r="A48" s="12">
        <v>42</v>
      </c>
      <c r="B48" s="1"/>
      <c r="C48" s="71" t="str">
        <f>IFERROR(INDEX(Items!B$1:H$1000,MATCH(B48,Items!J$1:J$1000,0),4),"")</f>
        <v/>
      </c>
      <c r="D48" s="68">
        <f>IFERROR(INDEX(Items!B$1:H$1000,MATCH(B48,Items!J$1:J$1000,0),5),0)</f>
        <v>0</v>
      </c>
      <c r="E48" s="71"/>
      <c r="F48" s="68">
        <f>IFERROR(INDEX(Items!B$1:H$1000,MATCH(B48,Items!J$1:J$1000,0),6),0)</f>
        <v>0</v>
      </c>
      <c r="G48" s="68"/>
      <c r="H48" s="72" t="str">
        <f>IFERROR(INDEX(Items!B$1:H$1000,MATCH(B48,Items!J$1:J$1000,0),7),"Exempted")</f>
        <v>Exempted</v>
      </c>
      <c r="I48" s="38">
        <f>IFERROR(INDEX('Tax Rates'!A$1:F$20,MATCH(H48,'Tax Rates'!A$1:A$20,0),2),0)</f>
        <v>0</v>
      </c>
      <c r="J48" s="38">
        <f t="shared" si="6"/>
        <v>0</v>
      </c>
      <c r="K48" s="38">
        <f t="shared" si="0"/>
        <v>0</v>
      </c>
      <c r="L48" s="38">
        <f t="shared" si="1"/>
        <v>0</v>
      </c>
      <c r="M48" s="38">
        <f t="shared" si="2"/>
        <v>0</v>
      </c>
      <c r="N48" s="38">
        <f t="shared" si="3"/>
        <v>0</v>
      </c>
      <c r="O48" s="39">
        <f t="shared" si="4"/>
        <v>0</v>
      </c>
      <c r="P48" s="40">
        <f t="shared" si="5"/>
        <v>0</v>
      </c>
    </row>
    <row r="49" spans="1:16" x14ac:dyDescent="0.3">
      <c r="A49" s="12">
        <v>43</v>
      </c>
      <c r="B49" s="1"/>
      <c r="C49" s="71" t="str">
        <f>IFERROR(INDEX(Items!B$1:H$1000,MATCH(B49,Items!J$1:J$1000,0),4),"")</f>
        <v/>
      </c>
      <c r="D49" s="68">
        <f>IFERROR(INDEX(Items!B$1:H$1000,MATCH(B49,Items!J$1:J$1000,0),5),0)</f>
        <v>0</v>
      </c>
      <c r="E49" s="71"/>
      <c r="F49" s="68">
        <f>IFERROR(INDEX(Items!B$1:H$1000,MATCH(B49,Items!J$1:J$1000,0),6),0)</f>
        <v>0</v>
      </c>
      <c r="G49" s="68"/>
      <c r="H49" s="72" t="str">
        <f>IFERROR(INDEX(Items!B$1:H$1000,MATCH(B49,Items!J$1:J$1000,0),7),"Exempted")</f>
        <v>Exempted</v>
      </c>
      <c r="I49" s="38">
        <f>IFERROR(INDEX('Tax Rates'!A$1:F$20,MATCH(H49,'Tax Rates'!A$1:A$20,0),2),0)</f>
        <v>0</v>
      </c>
      <c r="J49" s="38">
        <f t="shared" si="6"/>
        <v>0</v>
      </c>
      <c r="K49" s="38">
        <f t="shared" si="0"/>
        <v>0</v>
      </c>
      <c r="L49" s="38">
        <f t="shared" si="1"/>
        <v>0</v>
      </c>
      <c r="M49" s="38">
        <f t="shared" si="2"/>
        <v>0</v>
      </c>
      <c r="N49" s="38">
        <f t="shared" si="3"/>
        <v>0</v>
      </c>
      <c r="O49" s="39">
        <f t="shared" si="4"/>
        <v>0</v>
      </c>
      <c r="P49" s="40">
        <f t="shared" si="5"/>
        <v>0</v>
      </c>
    </row>
    <row r="50" spans="1:16" x14ac:dyDescent="0.3">
      <c r="A50" s="12">
        <v>44</v>
      </c>
      <c r="B50" s="1"/>
      <c r="C50" s="71" t="str">
        <f>IFERROR(INDEX(Items!B$1:H$1000,MATCH(B50,Items!J$1:J$1000,0),4),"")</f>
        <v/>
      </c>
      <c r="D50" s="68">
        <f>IFERROR(INDEX(Items!B$1:H$1000,MATCH(B50,Items!J$1:J$1000,0),5),0)</f>
        <v>0</v>
      </c>
      <c r="E50" s="71"/>
      <c r="F50" s="68">
        <f>IFERROR(INDEX(Items!B$1:H$1000,MATCH(B50,Items!J$1:J$1000,0),6),0)</f>
        <v>0</v>
      </c>
      <c r="G50" s="68"/>
      <c r="H50" s="72" t="str">
        <f>IFERROR(INDEX(Items!B$1:H$1000,MATCH(B50,Items!J$1:J$1000,0),7),"Exempted")</f>
        <v>Exempted</v>
      </c>
      <c r="I50" s="38">
        <f>IFERROR(INDEX('Tax Rates'!A$1:F$20,MATCH(H50,'Tax Rates'!A$1:A$20,0),2),0)</f>
        <v>0</v>
      </c>
      <c r="J50" s="38">
        <f t="shared" si="6"/>
        <v>0</v>
      </c>
      <c r="K50" s="38">
        <f t="shared" si="0"/>
        <v>0</v>
      </c>
      <c r="L50" s="38">
        <f t="shared" si="1"/>
        <v>0</v>
      </c>
      <c r="M50" s="38">
        <f t="shared" si="2"/>
        <v>0</v>
      </c>
      <c r="N50" s="38">
        <f t="shared" si="3"/>
        <v>0</v>
      </c>
      <c r="O50" s="39">
        <f t="shared" si="4"/>
        <v>0</v>
      </c>
      <c r="P50" s="40">
        <f t="shared" si="5"/>
        <v>0</v>
      </c>
    </row>
    <row r="51" spans="1:16" x14ac:dyDescent="0.3">
      <c r="A51" s="12">
        <v>45</v>
      </c>
      <c r="B51" s="1"/>
      <c r="C51" s="71" t="str">
        <f>IFERROR(INDEX(Items!B$1:H$1000,MATCH(B51,Items!J$1:J$1000,0),4),"")</f>
        <v/>
      </c>
      <c r="D51" s="68">
        <f>IFERROR(INDEX(Items!B$1:H$1000,MATCH(B51,Items!J$1:J$1000,0),5),0)</f>
        <v>0</v>
      </c>
      <c r="E51" s="71"/>
      <c r="F51" s="68">
        <f>IFERROR(INDEX(Items!B$1:H$1000,MATCH(B51,Items!J$1:J$1000,0),6),0)</f>
        <v>0</v>
      </c>
      <c r="G51" s="68"/>
      <c r="H51" s="72" t="str">
        <f>IFERROR(INDEX(Items!B$1:H$1000,MATCH(B51,Items!J$1:J$1000,0),7),"Exempted")</f>
        <v>Exempted</v>
      </c>
      <c r="I51" s="38">
        <f>IFERROR(INDEX('Tax Rates'!A$1:F$20,MATCH(H51,'Tax Rates'!A$1:A$20,0),2),0)</f>
        <v>0</v>
      </c>
      <c r="J51" s="38">
        <f t="shared" si="6"/>
        <v>0</v>
      </c>
      <c r="K51" s="38">
        <f t="shared" si="0"/>
        <v>0</v>
      </c>
      <c r="L51" s="38">
        <f t="shared" si="1"/>
        <v>0</v>
      </c>
      <c r="M51" s="38">
        <f t="shared" si="2"/>
        <v>0</v>
      </c>
      <c r="N51" s="38">
        <f t="shared" si="3"/>
        <v>0</v>
      </c>
      <c r="O51" s="39">
        <f t="shared" si="4"/>
        <v>0</v>
      </c>
      <c r="P51" s="40">
        <f t="shared" si="5"/>
        <v>0</v>
      </c>
    </row>
    <row r="52" spans="1:16" x14ac:dyDescent="0.3">
      <c r="A52" s="12">
        <v>46</v>
      </c>
      <c r="B52" s="1"/>
      <c r="C52" s="71" t="str">
        <f>IFERROR(INDEX(Items!B$1:H$1000,MATCH(B52,Items!J$1:J$1000,0),4),"")</f>
        <v/>
      </c>
      <c r="D52" s="68">
        <f>IFERROR(INDEX(Items!B$1:H$1000,MATCH(B52,Items!J$1:J$1000,0),5),0)</f>
        <v>0</v>
      </c>
      <c r="E52" s="71"/>
      <c r="F52" s="68">
        <f>IFERROR(INDEX(Items!B$1:H$1000,MATCH(B52,Items!J$1:J$1000,0),6),0)</f>
        <v>0</v>
      </c>
      <c r="G52" s="68"/>
      <c r="H52" s="72" t="str">
        <f>IFERROR(INDEX(Items!B$1:H$1000,MATCH(B52,Items!J$1:J$1000,0),7),"Exempted")</f>
        <v>Exempted</v>
      </c>
      <c r="I52" s="38">
        <f>IFERROR(INDEX('Tax Rates'!A$1:F$20,MATCH(H52,'Tax Rates'!A$1:A$20,0),2),0)</f>
        <v>0</v>
      </c>
      <c r="J52" s="38">
        <f t="shared" si="6"/>
        <v>0</v>
      </c>
      <c r="K52" s="38">
        <f t="shared" si="0"/>
        <v>0</v>
      </c>
      <c r="L52" s="38">
        <f t="shared" si="1"/>
        <v>0</v>
      </c>
      <c r="M52" s="38">
        <f t="shared" si="2"/>
        <v>0</v>
      </c>
      <c r="N52" s="38">
        <f t="shared" si="3"/>
        <v>0</v>
      </c>
      <c r="O52" s="39">
        <f t="shared" si="4"/>
        <v>0</v>
      </c>
      <c r="P52" s="40">
        <f t="shared" si="5"/>
        <v>0</v>
      </c>
    </row>
    <row r="53" spans="1:16" x14ac:dyDescent="0.3">
      <c r="A53" s="12">
        <v>47</v>
      </c>
      <c r="B53" s="1"/>
      <c r="C53" s="71" t="str">
        <f>IFERROR(INDEX(Items!B$1:H$1000,MATCH(B53,Items!J$1:J$1000,0),4),"")</f>
        <v/>
      </c>
      <c r="D53" s="68">
        <f>IFERROR(INDEX(Items!B$1:H$1000,MATCH(B53,Items!J$1:J$1000,0),5),0)</f>
        <v>0</v>
      </c>
      <c r="E53" s="71"/>
      <c r="F53" s="68">
        <f>IFERROR(INDEX(Items!B$1:H$1000,MATCH(B53,Items!J$1:J$1000,0),6),0)</f>
        <v>0</v>
      </c>
      <c r="G53" s="68"/>
      <c r="H53" s="72" t="str">
        <f>IFERROR(INDEX(Items!B$1:H$1000,MATCH(B53,Items!J$1:J$1000,0),7),"Exempted")</f>
        <v>Exempted</v>
      </c>
      <c r="I53" s="38">
        <f>IFERROR(INDEX('Tax Rates'!A$1:F$20,MATCH(H53,'Tax Rates'!A$1:A$20,0),2),0)</f>
        <v>0</v>
      </c>
      <c r="J53" s="38">
        <f t="shared" si="6"/>
        <v>0</v>
      </c>
      <c r="K53" s="38">
        <f t="shared" si="0"/>
        <v>0</v>
      </c>
      <c r="L53" s="38">
        <f t="shared" si="1"/>
        <v>0</v>
      </c>
      <c r="M53" s="38">
        <f t="shared" si="2"/>
        <v>0</v>
      </c>
      <c r="N53" s="38">
        <f t="shared" si="3"/>
        <v>0</v>
      </c>
      <c r="O53" s="39">
        <f t="shared" si="4"/>
        <v>0</v>
      </c>
      <c r="P53" s="40">
        <f t="shared" si="5"/>
        <v>0</v>
      </c>
    </row>
    <row r="54" spans="1:16" x14ac:dyDescent="0.3">
      <c r="A54" s="12">
        <v>48</v>
      </c>
      <c r="B54" s="1"/>
      <c r="C54" s="71" t="str">
        <f>IFERROR(INDEX(Items!B$1:H$1000,MATCH(B54,Items!J$1:J$1000,0),4),"")</f>
        <v/>
      </c>
      <c r="D54" s="68">
        <f>IFERROR(INDEX(Items!B$1:H$1000,MATCH(B54,Items!J$1:J$1000,0),5),0)</f>
        <v>0</v>
      </c>
      <c r="E54" s="71"/>
      <c r="F54" s="68">
        <f>IFERROR(INDEX(Items!B$1:H$1000,MATCH(B54,Items!J$1:J$1000,0),6),0)</f>
        <v>0</v>
      </c>
      <c r="G54" s="68"/>
      <c r="H54" s="72" t="str">
        <f>IFERROR(INDEX(Items!B$1:H$1000,MATCH(B54,Items!J$1:J$1000,0),7),"Exempted")</f>
        <v>Exempted</v>
      </c>
      <c r="I54" s="38">
        <f>IFERROR(INDEX('Tax Rates'!A$1:F$20,MATCH(H54,'Tax Rates'!A$1:A$20,0),2),0)</f>
        <v>0</v>
      </c>
      <c r="J54" s="38">
        <f t="shared" si="6"/>
        <v>0</v>
      </c>
      <c r="K54" s="38">
        <f t="shared" si="0"/>
        <v>0</v>
      </c>
      <c r="L54" s="38">
        <f t="shared" si="1"/>
        <v>0</v>
      </c>
      <c r="M54" s="38">
        <f t="shared" si="2"/>
        <v>0</v>
      </c>
      <c r="N54" s="38">
        <f t="shared" si="3"/>
        <v>0</v>
      </c>
      <c r="O54" s="39">
        <f t="shared" si="4"/>
        <v>0</v>
      </c>
      <c r="P54" s="40">
        <f t="shared" si="5"/>
        <v>0</v>
      </c>
    </row>
    <row r="55" spans="1:16" x14ac:dyDescent="0.3">
      <c r="A55" s="12">
        <v>49</v>
      </c>
      <c r="B55" s="1"/>
      <c r="C55" s="71" t="str">
        <f>IFERROR(INDEX(Items!B$1:H$1000,MATCH(B55,Items!J$1:J$1000,0),4),"")</f>
        <v/>
      </c>
      <c r="D55" s="68">
        <f>IFERROR(INDEX(Items!B$1:H$1000,MATCH(B55,Items!J$1:J$1000,0),5),0)</f>
        <v>0</v>
      </c>
      <c r="E55" s="71"/>
      <c r="F55" s="68">
        <f>IFERROR(INDEX(Items!B$1:H$1000,MATCH(B55,Items!J$1:J$1000,0),6),0)</f>
        <v>0</v>
      </c>
      <c r="G55" s="68"/>
      <c r="H55" s="72" t="str">
        <f>IFERROR(INDEX(Items!B$1:H$1000,MATCH(B55,Items!J$1:J$1000,0),7),"Exempted")</f>
        <v>Exempted</v>
      </c>
      <c r="I55" s="38">
        <f>IFERROR(INDEX('Tax Rates'!A$1:F$20,MATCH(H55,'Tax Rates'!A$1:A$20,0),2),0)</f>
        <v>0</v>
      </c>
      <c r="J55" s="38">
        <f t="shared" si="6"/>
        <v>0</v>
      </c>
      <c r="K55" s="38">
        <f t="shared" si="0"/>
        <v>0</v>
      </c>
      <c r="L55" s="38">
        <f t="shared" si="1"/>
        <v>0</v>
      </c>
      <c r="M55" s="38">
        <f t="shared" si="2"/>
        <v>0</v>
      </c>
      <c r="N55" s="38">
        <f t="shared" si="3"/>
        <v>0</v>
      </c>
      <c r="O55" s="39">
        <f t="shared" si="4"/>
        <v>0</v>
      </c>
      <c r="P55" s="40">
        <f t="shared" si="5"/>
        <v>0</v>
      </c>
    </row>
    <row r="56" spans="1:16" ht="15" thickBot="1" x14ac:dyDescent="0.35">
      <c r="A56" s="12">
        <v>50</v>
      </c>
      <c r="B56" s="1"/>
      <c r="C56" s="71" t="str">
        <f>IFERROR(INDEX(Items!B$1:H$1000,MATCH(B56,Items!J$1:J$1000,0),4),"")</f>
        <v/>
      </c>
      <c r="D56" s="68">
        <f>IFERROR(INDEX(Items!B$1:H$1000,MATCH(B56,Items!J$1:J$1000,0),5),0)</f>
        <v>0</v>
      </c>
      <c r="E56" s="71"/>
      <c r="F56" s="68">
        <f>IFERROR(INDEX(Items!B$1:H$1000,MATCH(B56,Items!J$1:J$1000,0),6),0)</f>
        <v>0</v>
      </c>
      <c r="G56" s="68"/>
      <c r="H56" s="72" t="str">
        <f>IFERROR(INDEX(Items!B$1:H$1000,MATCH(B56,Items!J$1:J$1000,0),7),"Exempted")</f>
        <v>Exempted</v>
      </c>
      <c r="I56" s="41">
        <f>IFERROR(INDEX('Tax Rates'!A$1:F$20,MATCH(H56,'Tax Rates'!A$1:A$20,0),2),0)</f>
        <v>0</v>
      </c>
      <c r="J56" s="41">
        <f t="shared" si="6"/>
        <v>0</v>
      </c>
      <c r="K56" s="38">
        <f t="shared" si="0"/>
        <v>0</v>
      </c>
      <c r="L56" s="41">
        <f t="shared" si="1"/>
        <v>0</v>
      </c>
      <c r="M56" s="41">
        <f t="shared" si="2"/>
        <v>0</v>
      </c>
      <c r="N56" s="38">
        <f t="shared" si="3"/>
        <v>0</v>
      </c>
      <c r="O56" s="39">
        <f t="shared" si="4"/>
        <v>0</v>
      </c>
      <c r="P56" s="42">
        <f t="shared" si="5"/>
        <v>0</v>
      </c>
    </row>
    <row r="57" spans="1:16" ht="15" thickBot="1" x14ac:dyDescent="0.35">
      <c r="J57" s="43"/>
      <c r="K57" s="43"/>
      <c r="L57" s="43"/>
      <c r="M57" s="43"/>
      <c r="N57" s="43"/>
      <c r="O57" s="43"/>
      <c r="P57" s="43"/>
    </row>
    <row r="58" spans="1:16" ht="15" thickBot="1" x14ac:dyDescent="0.35">
      <c r="B58" s="174" t="s">
        <v>11</v>
      </c>
      <c r="C58" s="175"/>
      <c r="D58" s="176"/>
      <c r="E58" s="176"/>
      <c r="F58" s="176"/>
      <c r="G58" s="176"/>
      <c r="H58" s="176"/>
      <c r="I58" s="176"/>
      <c r="J58" s="69">
        <f>SUM(J7:J56)</f>
        <v>0</v>
      </c>
      <c r="K58" s="69">
        <f t="shared" ref="K58:P58" si="7">SUM(K7:K56)</f>
        <v>0</v>
      </c>
      <c r="L58" s="69">
        <f t="shared" si="7"/>
        <v>0</v>
      </c>
      <c r="M58" s="69">
        <f t="shared" si="7"/>
        <v>0</v>
      </c>
      <c r="N58" s="69">
        <f t="shared" si="7"/>
        <v>0</v>
      </c>
      <c r="O58" s="69">
        <f t="shared" si="7"/>
        <v>0</v>
      </c>
      <c r="P58" s="70">
        <f t="shared" si="7"/>
        <v>0</v>
      </c>
    </row>
    <row r="59" spans="1:16" ht="15" thickBot="1" x14ac:dyDescent="0.35"/>
    <row r="60" spans="1:16" ht="15.75" customHeight="1" thickBot="1" x14ac:dyDescent="0.35">
      <c r="B60" s="170" t="s">
        <v>50</v>
      </c>
      <c r="C60" s="171"/>
      <c r="D60" s="76">
        <f>SUM(P7:P56)</f>
        <v>0</v>
      </c>
      <c r="E60"/>
      <c r="F60"/>
      <c r="G60"/>
      <c r="H60" s="9"/>
      <c r="J60" s="120" t="s">
        <v>89</v>
      </c>
      <c r="K60" s="121" t="s">
        <v>62</v>
      </c>
      <c r="L60" s="122" t="s">
        <v>62</v>
      </c>
    </row>
    <row r="61" spans="1:16" ht="15" thickBot="1" x14ac:dyDescent="0.35">
      <c r="B61" s="170" t="s">
        <v>48</v>
      </c>
      <c r="C61" s="171"/>
      <c r="D61" s="76">
        <v>0</v>
      </c>
      <c r="E61"/>
      <c r="F61"/>
      <c r="G61"/>
      <c r="H61" s="9"/>
      <c r="J61" s="123" t="str">
        <f>'Tax Rates'!A2</f>
        <v>GST 5%</v>
      </c>
      <c r="K61" s="124"/>
      <c r="L61" s="125">
        <f>IFERROR(SUMIFS(O:O,H:H,J61)-(SUMIFS(O:O,H:H,J61)*($D$61/100)),0)</f>
        <v>0</v>
      </c>
    </row>
    <row r="62" spans="1:16" ht="15" thickBot="1" x14ac:dyDescent="0.35">
      <c r="B62" s="170" t="s">
        <v>51</v>
      </c>
      <c r="C62" s="171"/>
      <c r="D62" s="76">
        <f>IFERROR(D60*(D61/100),0)</f>
        <v>0</v>
      </c>
      <c r="E62"/>
      <c r="F62"/>
      <c r="G62"/>
      <c r="H62" s="9"/>
      <c r="J62" s="123" t="str">
        <f>'Tax Rates'!A3</f>
        <v>GST 12%</v>
      </c>
      <c r="K62" s="10"/>
      <c r="L62" s="125">
        <f t="shared" ref="L62:L69" si="8">IFERROR(SUMIFS(O:O,H:H,J62)-(SUMIFS(O:O,H:H,J62)*($D$61/100)),0)</f>
        <v>0</v>
      </c>
    </row>
    <row r="63" spans="1:16" ht="15" thickBot="1" x14ac:dyDescent="0.35">
      <c r="B63" s="170" t="s">
        <v>90</v>
      </c>
      <c r="C63" s="171"/>
      <c r="D63" s="76">
        <f>IFERROR(O58-O58*(D61/100),0)</f>
        <v>0</v>
      </c>
      <c r="E63"/>
      <c r="F63"/>
      <c r="G63"/>
      <c r="H63" s="9"/>
      <c r="J63" s="123" t="str">
        <f>'Tax Rates'!A4</f>
        <v>GST 18%</v>
      </c>
      <c r="K63" s="10"/>
      <c r="L63" s="125">
        <f t="shared" si="8"/>
        <v>0</v>
      </c>
    </row>
    <row r="64" spans="1:16" ht="15" thickBot="1" x14ac:dyDescent="0.35">
      <c r="B64" s="170" t="s">
        <v>82</v>
      </c>
      <c r="C64" s="171"/>
      <c r="D64" s="131">
        <f>IFERROR(ROUND(D60-D62+D63,0),0)</f>
        <v>0</v>
      </c>
      <c r="E64"/>
      <c r="F64"/>
      <c r="G64"/>
      <c r="H64" s="9"/>
      <c r="J64" s="123" t="str">
        <f>'Tax Rates'!A5</f>
        <v>GST 28%</v>
      </c>
      <c r="K64" s="10"/>
      <c r="L64" s="125">
        <f t="shared" si="8"/>
        <v>0</v>
      </c>
    </row>
    <row r="65" spans="3:12" ht="15" thickBot="1" x14ac:dyDescent="0.35">
      <c r="C65"/>
      <c r="D65"/>
      <c r="E65"/>
      <c r="F65"/>
      <c r="G65"/>
      <c r="H65" s="9"/>
      <c r="J65" s="123" t="str">
        <f>'Tax Rates'!A6</f>
        <v>IGST 5%</v>
      </c>
      <c r="K65" s="10"/>
      <c r="L65" s="125">
        <f t="shared" si="8"/>
        <v>0</v>
      </c>
    </row>
    <row r="66" spans="3:12" ht="15" thickBot="1" x14ac:dyDescent="0.35">
      <c r="C66"/>
      <c r="D66" s="127"/>
      <c r="E66"/>
      <c r="F66"/>
      <c r="G66"/>
      <c r="H66" s="9"/>
      <c r="J66" s="123" t="str">
        <f>'Tax Rates'!A7</f>
        <v>IGST 12%</v>
      </c>
      <c r="K66" s="10"/>
      <c r="L66" s="125">
        <f t="shared" si="8"/>
        <v>0</v>
      </c>
    </row>
    <row r="67" spans="3:12" ht="15" thickBot="1" x14ac:dyDescent="0.35">
      <c r="C67"/>
      <c r="D67"/>
      <c r="E67"/>
      <c r="F67"/>
      <c r="G67"/>
      <c r="H67" s="9"/>
      <c r="J67" s="123" t="str">
        <f>'Tax Rates'!A8</f>
        <v>IGST 18%</v>
      </c>
      <c r="K67" s="119"/>
      <c r="L67" s="125">
        <f t="shared" si="8"/>
        <v>0</v>
      </c>
    </row>
    <row r="68" spans="3:12" ht="15" thickBot="1" x14ac:dyDescent="0.35">
      <c r="C68"/>
      <c r="D68"/>
      <c r="E68"/>
      <c r="F68"/>
      <c r="G68"/>
      <c r="H68" s="9"/>
      <c r="J68" s="123" t="str">
        <f>'Tax Rates'!A9</f>
        <v>IGST 28%</v>
      </c>
      <c r="K68" s="119"/>
      <c r="L68" s="125">
        <f t="shared" si="8"/>
        <v>0</v>
      </c>
    </row>
    <row r="69" spans="3:12" ht="15" thickBot="1" x14ac:dyDescent="0.35">
      <c r="C69"/>
      <c r="D69"/>
      <c r="E69"/>
      <c r="F69"/>
      <c r="G69"/>
      <c r="H69" s="9"/>
      <c r="J69" s="123" t="str">
        <f>'Tax Rates'!A10</f>
        <v>Exempted</v>
      </c>
      <c r="K69" s="126"/>
      <c r="L69" s="125">
        <f t="shared" si="8"/>
        <v>0</v>
      </c>
    </row>
    <row r="70" spans="3:12" x14ac:dyDescent="0.3">
      <c r="C70"/>
      <c r="D70"/>
      <c r="E70"/>
      <c r="F70"/>
      <c r="G70"/>
      <c r="H70" s="9"/>
    </row>
    <row r="71" spans="3:12" x14ac:dyDescent="0.3">
      <c r="C71"/>
      <c r="D71"/>
      <c r="E71"/>
      <c r="F71"/>
      <c r="G71"/>
      <c r="H71" s="9"/>
    </row>
    <row r="72" spans="3:12" x14ac:dyDescent="0.3">
      <c r="C72"/>
      <c r="D72"/>
      <c r="E72"/>
      <c r="F72"/>
      <c r="G72"/>
      <c r="H72" s="9"/>
    </row>
  </sheetData>
  <sheetProtection algorithmName="SHA-512" hashValue="TnMOjvpGikQs6W9qgpc3pq1uy1AJH6KHwtXri9YNTjPS6q7W3qwDpdfOmeMZClCErwNhQlC6+xmS6Umt/0qQTg==" saltValue="yHigUb48e/zfz/JlZp+vJg==" spinCount="100000" sheet="1" objects="1" scenarios="1"/>
  <dataConsolidate/>
  <mergeCells count="6">
    <mergeCell ref="B64:C64"/>
    <mergeCell ref="B58:I58"/>
    <mergeCell ref="B60:C60"/>
    <mergeCell ref="B61:C61"/>
    <mergeCell ref="B62:C62"/>
    <mergeCell ref="B63:C63"/>
  </mergeCells>
  <dataValidations count="3">
    <dataValidation type="list" allowBlank="1" showInputMessage="1" showErrorMessage="1" sqref="B7:B56" xr:uid="{00000000-0002-0000-0100-000000000000}">
      <formula1>ItemList1</formula1>
    </dataValidation>
    <dataValidation type="list" allowBlank="1" showInputMessage="1" showErrorMessage="1" sqref="H7:H56" xr:uid="{00000000-0002-0000-0100-000001000000}">
      <formula1>TaxRates</formula1>
    </dataValidation>
    <dataValidation type="list" allowBlank="1" showInputMessage="1" showErrorMessage="1" sqref="B4" xr:uid="{00000000-0002-0000-0100-000002000000}">
      <formula1>Customer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RecordByBill">
                <anchor moveWithCells="1" sizeWithCells="1">
                  <from>
                    <xdr:col>6</xdr:col>
                    <xdr:colOff>190500</xdr:colOff>
                    <xdr:row>1</xdr:row>
                    <xdr:rowOff>175260</xdr:rowOff>
                  </from>
                  <to>
                    <xdr:col>7</xdr:col>
                    <xdr:colOff>594360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PrintOld">
                <anchor moveWithCells="1" sizeWithCells="1">
                  <from>
                    <xdr:col>14</xdr:col>
                    <xdr:colOff>373380</xdr:colOff>
                    <xdr:row>1</xdr:row>
                    <xdr:rowOff>160020</xdr:rowOff>
                  </from>
                  <to>
                    <xdr:col>15</xdr:col>
                    <xdr:colOff>647700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Invoice">
                <anchor moveWithCells="1" sizeWithCells="1">
                  <from>
                    <xdr:col>12</xdr:col>
                    <xdr:colOff>236220</xdr:colOff>
                    <xdr:row>1</xdr:row>
                    <xdr:rowOff>160020</xdr:rowOff>
                  </from>
                  <to>
                    <xdr:col>13</xdr:col>
                    <xdr:colOff>541020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DeleteInvoice">
                <anchor moveWithCells="1" sizeWithCells="1">
                  <from>
                    <xdr:col>9</xdr:col>
                    <xdr:colOff>144780</xdr:colOff>
                    <xdr:row>1</xdr:row>
                    <xdr:rowOff>160020</xdr:rowOff>
                  </from>
                  <to>
                    <xdr:col>11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PreviousInvoices!$A:$A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7"/>
  <sheetViews>
    <sheetView workbookViewId="0">
      <selection activeCell="A2" sqref="A2"/>
    </sheetView>
  </sheetViews>
  <sheetFormatPr defaultRowHeight="14.4" x14ac:dyDescent="0.3"/>
  <cols>
    <col min="1" max="1" width="8.109375" style="15" bestFit="1" customWidth="1"/>
    <col min="2" max="2" width="10.33203125" bestFit="1" customWidth="1"/>
    <col min="3" max="3" width="25.44140625" bestFit="1" customWidth="1"/>
    <col min="4" max="4" width="14.33203125" style="19" bestFit="1" customWidth="1"/>
    <col min="5" max="5" width="23.109375" style="19" bestFit="1" customWidth="1"/>
    <col min="6" max="6" width="23.6640625" style="19" bestFit="1" customWidth="1"/>
    <col min="7" max="7" width="7.5546875" style="19" bestFit="1" customWidth="1"/>
    <col min="8" max="8" width="7.44140625" style="19" bestFit="1" customWidth="1"/>
    <col min="9" max="9" width="7" style="19" bestFit="1" customWidth="1"/>
    <col min="10" max="10" width="10.33203125" style="19" bestFit="1" customWidth="1"/>
    <col min="11" max="11" width="9.5546875" style="19" bestFit="1" customWidth="1"/>
    <col min="12" max="12" width="11.21875" bestFit="1" customWidth="1"/>
  </cols>
  <sheetData>
    <row r="1" spans="1:12" x14ac:dyDescent="0.3">
      <c r="A1" s="16" t="s">
        <v>54</v>
      </c>
      <c r="B1" s="17" t="s">
        <v>55</v>
      </c>
      <c r="C1" s="17" t="s">
        <v>13</v>
      </c>
      <c r="D1" s="18" t="s">
        <v>56</v>
      </c>
      <c r="E1" s="18" t="s">
        <v>57</v>
      </c>
      <c r="F1" s="18" t="s">
        <v>58</v>
      </c>
      <c r="G1" s="18" t="s">
        <v>32</v>
      </c>
      <c r="H1" s="18" t="s">
        <v>37</v>
      </c>
      <c r="I1" s="18" t="s">
        <v>59</v>
      </c>
      <c r="J1" s="18" t="s">
        <v>93</v>
      </c>
      <c r="K1" s="18" t="s">
        <v>149</v>
      </c>
      <c r="L1" t="s">
        <v>60</v>
      </c>
    </row>
    <row r="2" spans="1:12" x14ac:dyDescent="0.3">
      <c r="A2" s="15">
        <v>1001</v>
      </c>
      <c r="B2" s="14">
        <v>43377</v>
      </c>
      <c r="C2" t="s">
        <v>146</v>
      </c>
      <c r="D2" s="19">
        <v>7875</v>
      </c>
      <c r="E2" s="19">
        <v>0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248</v>
      </c>
      <c r="L2">
        <v>8123</v>
      </c>
    </row>
    <row r="3" spans="1:12" x14ac:dyDescent="0.3">
      <c r="A3" s="15">
        <v>1002</v>
      </c>
      <c r="B3" s="14">
        <v>43377</v>
      </c>
      <c r="C3" t="s">
        <v>146</v>
      </c>
      <c r="D3" s="19">
        <v>5400</v>
      </c>
      <c r="E3" s="19">
        <v>0</v>
      </c>
      <c r="F3" s="19">
        <v>0</v>
      </c>
      <c r="G3" s="19">
        <v>0</v>
      </c>
      <c r="H3" s="19">
        <v>0</v>
      </c>
      <c r="I3" s="19">
        <v>0</v>
      </c>
      <c r="J3" s="19">
        <v>0</v>
      </c>
      <c r="K3" s="19">
        <v>170</v>
      </c>
      <c r="L3">
        <v>5570</v>
      </c>
    </row>
    <row r="4" spans="1:12" x14ac:dyDescent="0.3">
      <c r="A4" s="15">
        <v>1003</v>
      </c>
      <c r="B4" s="14">
        <v>43377</v>
      </c>
      <c r="C4" t="s">
        <v>146</v>
      </c>
      <c r="D4" s="19">
        <v>9225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291</v>
      </c>
      <c r="L4">
        <v>9516</v>
      </c>
    </row>
    <row r="5" spans="1:12" x14ac:dyDescent="0.3">
      <c r="A5" s="15">
        <v>1004</v>
      </c>
      <c r="B5" s="14">
        <v>43377</v>
      </c>
      <c r="C5" t="s">
        <v>146</v>
      </c>
      <c r="D5" s="19">
        <v>1800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56</v>
      </c>
      <c r="L5">
        <v>1856</v>
      </c>
    </row>
    <row r="6" spans="1:12" x14ac:dyDescent="0.3">
      <c r="A6" s="15">
        <v>1005</v>
      </c>
      <c r="B6" s="14">
        <v>43377</v>
      </c>
      <c r="C6" t="s">
        <v>146</v>
      </c>
      <c r="D6" s="19">
        <v>900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28</v>
      </c>
      <c r="L6">
        <v>928</v>
      </c>
    </row>
    <row r="7" spans="1:12" x14ac:dyDescent="0.3">
      <c r="B7" s="14"/>
    </row>
  </sheetData>
  <autoFilter ref="A1:J1" xr:uid="{0425657A-9BB6-455F-AEE9-F276AC5CB821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00"/>
  <sheetViews>
    <sheetView zoomScale="110" zoomScaleNormal="110" workbookViewId="0">
      <selection activeCell="B6" sqref="B6"/>
    </sheetView>
  </sheetViews>
  <sheetFormatPr defaultRowHeight="14.4" x14ac:dyDescent="0.3"/>
  <cols>
    <col min="1" max="1" width="11.109375" style="158" customWidth="1"/>
    <col min="2" max="2" width="31.44140625" style="158" customWidth="1"/>
    <col min="3" max="3" width="11.88671875" style="159" bestFit="1" customWidth="1"/>
    <col min="4" max="4" width="10.109375" style="159" bestFit="1" customWidth="1"/>
    <col min="5" max="8" width="9.109375" style="159"/>
    <col min="9" max="9" width="5.44140625" customWidth="1"/>
    <col min="10" max="10" width="34" customWidth="1"/>
    <col min="11" max="11" width="3" customWidth="1"/>
    <col min="12" max="12" width="24.88671875" customWidth="1"/>
    <col min="13" max="13" width="45.5546875" customWidth="1"/>
  </cols>
  <sheetData>
    <row r="1" spans="1:12" x14ac:dyDescent="0.3">
      <c r="A1" s="155" t="s">
        <v>91</v>
      </c>
      <c r="B1" s="155" t="s">
        <v>40</v>
      </c>
      <c r="C1" s="156" t="s">
        <v>41</v>
      </c>
      <c r="D1" s="156" t="s">
        <v>42</v>
      </c>
      <c r="E1" s="156" t="s">
        <v>12</v>
      </c>
      <c r="F1" s="156" t="s">
        <v>1</v>
      </c>
      <c r="G1" s="156" t="s">
        <v>43</v>
      </c>
      <c r="H1" s="156" t="s">
        <v>44</v>
      </c>
      <c r="J1" s="8" t="s">
        <v>45</v>
      </c>
    </row>
    <row r="2" spans="1:12" x14ac:dyDescent="0.3">
      <c r="A2" s="1"/>
      <c r="B2" s="1" t="s">
        <v>138</v>
      </c>
      <c r="C2" s="157" t="s">
        <v>139</v>
      </c>
      <c r="D2" s="157"/>
      <c r="E2" s="157"/>
      <c r="F2" s="157">
        <v>25</v>
      </c>
      <c r="G2" s="157">
        <v>0</v>
      </c>
      <c r="H2" s="157" t="s">
        <v>52</v>
      </c>
      <c r="J2" t="str">
        <f t="shared" ref="J2:J65" si="0">IF(B2 &lt;&gt; "",(IF(C2&lt;&gt;"",CONCATENATE(A2, " ", B2,"  - ",C2,IF(D2&lt;&gt;"","/",""),D2),CONCATENATE(A2, " ",B2,IF(D2&lt;&gt;"","  - ",""),D2))),"")</f>
        <v xml:space="preserve"> Modak  - Steamed</v>
      </c>
      <c r="L2" s="13"/>
    </row>
    <row r="3" spans="1:12" x14ac:dyDescent="0.3">
      <c r="A3" s="1"/>
      <c r="B3" s="1" t="s">
        <v>138</v>
      </c>
      <c r="C3" s="157" t="s">
        <v>140</v>
      </c>
      <c r="D3" s="157"/>
      <c r="E3" s="157"/>
      <c r="F3" s="157">
        <v>25</v>
      </c>
      <c r="G3" s="157">
        <v>0</v>
      </c>
      <c r="H3" s="157" t="s">
        <v>52</v>
      </c>
      <c r="J3" t="str">
        <f t="shared" si="0"/>
        <v xml:space="preserve"> Modak  - Fried</v>
      </c>
      <c r="L3" s="13"/>
    </row>
    <row r="4" spans="1:12" x14ac:dyDescent="0.3">
      <c r="A4" s="1"/>
      <c r="B4" s="1" t="s">
        <v>142</v>
      </c>
      <c r="C4" s="157" t="s">
        <v>143</v>
      </c>
      <c r="D4" s="157"/>
      <c r="E4" s="157"/>
      <c r="F4" s="157">
        <v>60</v>
      </c>
      <c r="G4" s="157">
        <v>0</v>
      </c>
      <c r="H4" s="157" t="s">
        <v>52</v>
      </c>
      <c r="J4" t="str">
        <f t="shared" si="0"/>
        <v xml:space="preserve"> Chivda  - 200 gms</v>
      </c>
      <c r="L4" s="13"/>
    </row>
    <row r="5" spans="1:12" x14ac:dyDescent="0.3">
      <c r="A5" s="1"/>
      <c r="B5" s="1" t="s">
        <v>150</v>
      </c>
      <c r="C5" s="157"/>
      <c r="D5" s="157"/>
      <c r="E5" s="157"/>
      <c r="F5" s="157">
        <v>1</v>
      </c>
      <c r="G5" s="157">
        <v>0</v>
      </c>
      <c r="H5" s="157" t="s">
        <v>52</v>
      </c>
      <c r="J5" t="str">
        <f t="shared" si="0"/>
        <v xml:space="preserve"> Packaging &amp; Delivery</v>
      </c>
      <c r="L5" s="13"/>
    </row>
    <row r="6" spans="1:12" x14ac:dyDescent="0.3">
      <c r="A6" s="1"/>
      <c r="B6" s="1"/>
      <c r="C6" s="157"/>
      <c r="D6" s="157"/>
      <c r="E6" s="157"/>
      <c r="F6" s="157"/>
      <c r="G6" s="157">
        <v>0</v>
      </c>
      <c r="H6" s="157" t="s">
        <v>52</v>
      </c>
      <c r="J6" t="str">
        <f t="shared" si="0"/>
        <v/>
      </c>
      <c r="L6" s="13"/>
    </row>
    <row r="7" spans="1:12" x14ac:dyDescent="0.3">
      <c r="A7" s="1"/>
      <c r="B7" s="1"/>
      <c r="C7" s="157"/>
      <c r="D7" s="157"/>
      <c r="E7" s="157"/>
      <c r="F7" s="157"/>
      <c r="G7" s="157">
        <v>0</v>
      </c>
      <c r="H7" s="157" t="s">
        <v>52</v>
      </c>
      <c r="J7" t="str">
        <f t="shared" si="0"/>
        <v/>
      </c>
      <c r="L7" s="13"/>
    </row>
    <row r="8" spans="1:12" x14ac:dyDescent="0.3">
      <c r="A8" s="1"/>
      <c r="B8" s="1"/>
      <c r="C8" s="157"/>
      <c r="D8" s="157"/>
      <c r="E8" s="157"/>
      <c r="F8" s="157"/>
      <c r="G8" s="157">
        <v>0</v>
      </c>
      <c r="H8" s="157" t="s">
        <v>52</v>
      </c>
      <c r="J8" t="str">
        <f t="shared" si="0"/>
        <v/>
      </c>
      <c r="L8" s="13"/>
    </row>
    <row r="9" spans="1:12" x14ac:dyDescent="0.3">
      <c r="A9" s="1"/>
      <c r="B9" s="1"/>
      <c r="C9" s="157"/>
      <c r="D9" s="157"/>
      <c r="E9" s="157"/>
      <c r="F9" s="157"/>
      <c r="G9" s="157">
        <v>0</v>
      </c>
      <c r="H9" s="157" t="s">
        <v>52</v>
      </c>
      <c r="J9" t="str">
        <f t="shared" si="0"/>
        <v/>
      </c>
      <c r="L9" s="13"/>
    </row>
    <row r="10" spans="1:12" x14ac:dyDescent="0.3">
      <c r="A10" s="1"/>
      <c r="B10" s="1"/>
      <c r="C10" s="157"/>
      <c r="D10" s="157"/>
      <c r="E10" s="157"/>
      <c r="F10" s="157"/>
      <c r="G10" s="157">
        <v>0</v>
      </c>
      <c r="H10" s="157" t="s">
        <v>52</v>
      </c>
      <c r="J10" t="str">
        <f t="shared" si="0"/>
        <v/>
      </c>
    </row>
    <row r="11" spans="1:12" x14ac:dyDescent="0.3">
      <c r="A11" s="1"/>
      <c r="B11" s="1"/>
      <c r="C11" s="157"/>
      <c r="D11" s="157"/>
      <c r="E11" s="157"/>
      <c r="F11" s="157"/>
      <c r="G11" s="157">
        <v>0</v>
      </c>
      <c r="H11" s="157" t="s">
        <v>52</v>
      </c>
      <c r="J11" t="str">
        <f t="shared" si="0"/>
        <v/>
      </c>
    </row>
    <row r="12" spans="1:12" x14ac:dyDescent="0.3">
      <c r="A12" s="1"/>
      <c r="B12" s="1"/>
      <c r="C12" s="157"/>
      <c r="D12" s="157"/>
      <c r="E12" s="157"/>
      <c r="F12" s="157"/>
      <c r="G12" s="157">
        <v>0</v>
      </c>
      <c r="H12" s="157" t="s">
        <v>52</v>
      </c>
      <c r="J12" t="str">
        <f t="shared" si="0"/>
        <v/>
      </c>
    </row>
    <row r="13" spans="1:12" x14ac:dyDescent="0.3">
      <c r="A13" s="1"/>
      <c r="B13" s="1"/>
      <c r="C13" s="157"/>
      <c r="D13" s="157"/>
      <c r="E13" s="157"/>
      <c r="F13" s="157"/>
      <c r="G13" s="157">
        <v>0</v>
      </c>
      <c r="H13" s="157" t="s">
        <v>52</v>
      </c>
      <c r="J13" t="str">
        <f t="shared" si="0"/>
        <v/>
      </c>
    </row>
    <row r="14" spans="1:12" x14ac:dyDescent="0.3">
      <c r="A14" s="1"/>
      <c r="B14" s="1"/>
      <c r="C14" s="157"/>
      <c r="D14" s="157"/>
      <c r="E14" s="157"/>
      <c r="F14" s="157"/>
      <c r="G14" s="157"/>
      <c r="H14" s="157"/>
      <c r="J14" t="str">
        <f t="shared" si="0"/>
        <v/>
      </c>
    </row>
    <row r="15" spans="1:12" x14ac:dyDescent="0.3">
      <c r="A15" s="1"/>
      <c r="B15" s="1"/>
      <c r="C15" s="157"/>
      <c r="D15" s="157"/>
      <c r="E15" s="157"/>
      <c r="F15" s="157"/>
      <c r="G15" s="157"/>
      <c r="H15" s="157"/>
      <c r="J15" t="str">
        <f t="shared" si="0"/>
        <v/>
      </c>
    </row>
    <row r="16" spans="1:12" x14ac:dyDescent="0.3">
      <c r="A16" s="1"/>
      <c r="B16" s="1"/>
      <c r="C16" s="157"/>
      <c r="D16" s="157"/>
      <c r="E16" s="157"/>
      <c r="F16" s="157"/>
      <c r="G16" s="157"/>
      <c r="H16" s="157"/>
      <c r="J16" t="str">
        <f t="shared" si="0"/>
        <v/>
      </c>
    </row>
    <row r="17" spans="1:10" x14ac:dyDescent="0.3">
      <c r="A17" s="1"/>
      <c r="B17" s="1"/>
      <c r="C17" s="157"/>
      <c r="D17" s="157"/>
      <c r="E17" s="157"/>
      <c r="F17" s="157"/>
      <c r="G17" s="157"/>
      <c r="H17" s="157"/>
      <c r="J17" t="str">
        <f t="shared" si="0"/>
        <v/>
      </c>
    </row>
    <row r="18" spans="1:10" x14ac:dyDescent="0.3">
      <c r="A18" s="1"/>
      <c r="B18" s="1"/>
      <c r="C18" s="157"/>
      <c r="D18" s="157"/>
      <c r="E18" s="157"/>
      <c r="F18" s="157"/>
      <c r="G18" s="157"/>
      <c r="H18" s="157"/>
      <c r="J18" t="str">
        <f t="shared" si="0"/>
        <v/>
      </c>
    </row>
    <row r="19" spans="1:10" x14ac:dyDescent="0.3">
      <c r="A19" s="1"/>
      <c r="B19" s="1"/>
      <c r="C19" s="157"/>
      <c r="D19" s="157"/>
      <c r="E19" s="157"/>
      <c r="F19" s="157"/>
      <c r="G19" s="157"/>
      <c r="H19" s="157"/>
      <c r="J19" t="str">
        <f t="shared" si="0"/>
        <v/>
      </c>
    </row>
    <row r="20" spans="1:10" x14ac:dyDescent="0.3">
      <c r="A20" s="1"/>
      <c r="B20" s="1"/>
      <c r="C20" s="157"/>
      <c r="D20" s="157"/>
      <c r="E20" s="157"/>
      <c r="F20" s="157"/>
      <c r="G20" s="157"/>
      <c r="H20" s="157"/>
      <c r="J20" t="str">
        <f t="shared" si="0"/>
        <v/>
      </c>
    </row>
    <row r="21" spans="1:10" x14ac:dyDescent="0.3">
      <c r="A21" s="1"/>
      <c r="B21" s="1"/>
      <c r="C21" s="157"/>
      <c r="D21" s="157"/>
      <c r="E21" s="157"/>
      <c r="F21" s="157"/>
      <c r="G21" s="157"/>
      <c r="H21" s="157"/>
      <c r="J21" t="str">
        <f t="shared" si="0"/>
        <v/>
      </c>
    </row>
    <row r="22" spans="1:10" x14ac:dyDescent="0.3">
      <c r="A22" s="1"/>
      <c r="B22" s="1"/>
      <c r="C22" s="157"/>
      <c r="D22" s="157"/>
      <c r="E22" s="157"/>
      <c r="F22" s="157"/>
      <c r="G22" s="157"/>
      <c r="H22" s="157"/>
      <c r="J22" t="str">
        <f t="shared" si="0"/>
        <v/>
      </c>
    </row>
    <row r="23" spans="1:10" x14ac:dyDescent="0.3">
      <c r="A23" s="1"/>
      <c r="B23" s="1"/>
      <c r="C23" s="157"/>
      <c r="D23" s="157"/>
      <c r="E23" s="157"/>
      <c r="F23" s="157"/>
      <c r="G23" s="157"/>
      <c r="H23" s="157"/>
      <c r="J23" t="str">
        <f t="shared" si="0"/>
        <v/>
      </c>
    </row>
    <row r="24" spans="1:10" x14ac:dyDescent="0.3">
      <c r="A24" s="1"/>
      <c r="B24" s="1"/>
      <c r="C24" s="157"/>
      <c r="D24" s="157"/>
      <c r="E24" s="157"/>
      <c r="F24" s="157"/>
      <c r="G24" s="157"/>
      <c r="H24" s="157"/>
      <c r="J24" t="str">
        <f t="shared" si="0"/>
        <v/>
      </c>
    </row>
    <row r="25" spans="1:10" x14ac:dyDescent="0.3">
      <c r="A25" s="1"/>
      <c r="B25" s="1"/>
      <c r="C25" s="157"/>
      <c r="D25" s="157"/>
      <c r="E25" s="157"/>
      <c r="F25" s="157"/>
      <c r="G25" s="157"/>
      <c r="H25" s="157"/>
      <c r="J25" t="str">
        <f t="shared" si="0"/>
        <v/>
      </c>
    </row>
    <row r="26" spans="1:10" x14ac:dyDescent="0.3">
      <c r="A26" s="1"/>
      <c r="B26" s="1"/>
      <c r="C26" s="157"/>
      <c r="D26" s="157"/>
      <c r="E26" s="157"/>
      <c r="F26" s="157"/>
      <c r="G26" s="157"/>
      <c r="H26" s="157"/>
      <c r="J26" t="str">
        <f t="shared" si="0"/>
        <v/>
      </c>
    </row>
    <row r="27" spans="1:10" x14ac:dyDescent="0.3">
      <c r="A27" s="1"/>
      <c r="B27" s="1"/>
      <c r="C27" s="157"/>
      <c r="D27" s="157"/>
      <c r="E27" s="157"/>
      <c r="F27" s="157"/>
      <c r="G27" s="157"/>
      <c r="H27" s="157"/>
      <c r="J27" t="str">
        <f t="shared" si="0"/>
        <v/>
      </c>
    </row>
    <row r="28" spans="1:10" x14ac:dyDescent="0.3">
      <c r="A28" s="1"/>
      <c r="B28" s="1"/>
      <c r="C28" s="157"/>
      <c r="D28" s="157"/>
      <c r="E28" s="157"/>
      <c r="F28" s="157"/>
      <c r="G28" s="157"/>
      <c r="H28" s="157"/>
      <c r="J28" t="str">
        <f t="shared" si="0"/>
        <v/>
      </c>
    </row>
    <row r="29" spans="1:10" x14ac:dyDescent="0.3">
      <c r="A29" s="1"/>
      <c r="B29" s="1"/>
      <c r="C29" s="157"/>
      <c r="D29" s="157"/>
      <c r="E29" s="157"/>
      <c r="F29" s="157"/>
      <c r="G29" s="157"/>
      <c r="H29" s="157"/>
      <c r="J29" t="str">
        <f t="shared" si="0"/>
        <v/>
      </c>
    </row>
    <row r="30" spans="1:10" x14ac:dyDescent="0.3">
      <c r="A30" s="1"/>
      <c r="B30" s="1"/>
      <c r="C30" s="157"/>
      <c r="D30" s="157"/>
      <c r="E30" s="157"/>
      <c r="F30" s="157"/>
      <c r="G30" s="157"/>
      <c r="H30" s="157"/>
      <c r="J30" t="str">
        <f t="shared" si="0"/>
        <v/>
      </c>
    </row>
    <row r="31" spans="1:10" x14ac:dyDescent="0.3">
      <c r="A31" s="1"/>
      <c r="B31" s="1"/>
      <c r="C31" s="157"/>
      <c r="D31" s="157"/>
      <c r="E31" s="157"/>
      <c r="F31" s="157"/>
      <c r="G31" s="157"/>
      <c r="H31" s="157"/>
      <c r="J31" t="str">
        <f t="shared" si="0"/>
        <v/>
      </c>
    </row>
    <row r="32" spans="1:10" x14ac:dyDescent="0.3">
      <c r="A32" s="1"/>
      <c r="B32" s="1"/>
      <c r="C32" s="157"/>
      <c r="D32" s="157"/>
      <c r="E32" s="157"/>
      <c r="F32" s="157"/>
      <c r="G32" s="157"/>
      <c r="H32" s="157"/>
      <c r="J32" t="str">
        <f t="shared" si="0"/>
        <v/>
      </c>
    </row>
    <row r="33" spans="1:10" x14ac:dyDescent="0.3">
      <c r="A33" s="1"/>
      <c r="B33" s="1"/>
      <c r="C33" s="157"/>
      <c r="D33" s="157"/>
      <c r="E33" s="157"/>
      <c r="F33" s="157"/>
      <c r="G33" s="157"/>
      <c r="H33" s="157"/>
      <c r="J33" t="str">
        <f t="shared" si="0"/>
        <v/>
      </c>
    </row>
    <row r="34" spans="1:10" x14ac:dyDescent="0.3">
      <c r="A34" s="1"/>
      <c r="B34" s="1"/>
      <c r="C34" s="157"/>
      <c r="D34" s="157"/>
      <c r="E34" s="157"/>
      <c r="F34" s="157"/>
      <c r="G34" s="157"/>
      <c r="H34" s="157"/>
      <c r="J34" t="str">
        <f t="shared" si="0"/>
        <v/>
      </c>
    </row>
    <row r="35" spans="1:10" x14ac:dyDescent="0.3">
      <c r="A35" s="1"/>
      <c r="B35" s="1"/>
      <c r="C35" s="157"/>
      <c r="D35" s="157"/>
      <c r="E35" s="157"/>
      <c r="F35" s="157"/>
      <c r="G35" s="157"/>
      <c r="H35" s="157"/>
      <c r="J35" t="str">
        <f t="shared" si="0"/>
        <v/>
      </c>
    </row>
    <row r="36" spans="1:10" x14ac:dyDescent="0.3">
      <c r="A36" s="1"/>
      <c r="B36" s="1"/>
      <c r="C36" s="157"/>
      <c r="D36" s="157"/>
      <c r="E36" s="157"/>
      <c r="F36" s="157"/>
      <c r="G36" s="157"/>
      <c r="H36" s="157"/>
      <c r="J36" t="str">
        <f t="shared" si="0"/>
        <v/>
      </c>
    </row>
    <row r="37" spans="1:10" x14ac:dyDescent="0.3">
      <c r="A37" s="1"/>
      <c r="B37" s="1"/>
      <c r="C37" s="157"/>
      <c r="D37" s="157"/>
      <c r="E37" s="157"/>
      <c r="F37" s="157"/>
      <c r="G37" s="157"/>
      <c r="H37" s="157"/>
      <c r="J37" t="str">
        <f t="shared" si="0"/>
        <v/>
      </c>
    </row>
    <row r="38" spans="1:10" x14ac:dyDescent="0.3">
      <c r="A38" s="1"/>
      <c r="B38" s="1"/>
      <c r="C38" s="157"/>
      <c r="D38" s="157"/>
      <c r="E38" s="157"/>
      <c r="F38" s="157"/>
      <c r="G38" s="157"/>
      <c r="H38" s="157"/>
      <c r="J38" t="str">
        <f t="shared" si="0"/>
        <v/>
      </c>
    </row>
    <row r="39" spans="1:10" x14ac:dyDescent="0.3">
      <c r="A39" s="1"/>
      <c r="B39" s="1"/>
      <c r="C39" s="157"/>
      <c r="D39" s="157"/>
      <c r="E39" s="157"/>
      <c r="F39" s="157"/>
      <c r="G39" s="157"/>
      <c r="H39" s="157"/>
      <c r="J39" t="str">
        <f t="shared" si="0"/>
        <v/>
      </c>
    </row>
    <row r="40" spans="1:10" x14ac:dyDescent="0.3">
      <c r="A40" s="1"/>
      <c r="B40" s="1"/>
      <c r="C40" s="157"/>
      <c r="D40" s="157"/>
      <c r="E40" s="157"/>
      <c r="F40" s="157"/>
      <c r="G40" s="157"/>
      <c r="H40" s="157"/>
      <c r="J40" t="str">
        <f t="shared" si="0"/>
        <v/>
      </c>
    </row>
    <row r="41" spans="1:10" x14ac:dyDescent="0.3">
      <c r="A41" s="1"/>
      <c r="B41" s="1"/>
      <c r="C41" s="157"/>
      <c r="D41" s="157"/>
      <c r="E41" s="157"/>
      <c r="F41" s="157"/>
      <c r="G41" s="157"/>
      <c r="H41" s="157"/>
      <c r="J41" t="str">
        <f t="shared" si="0"/>
        <v/>
      </c>
    </row>
    <row r="42" spans="1:10" x14ac:dyDescent="0.3">
      <c r="A42" s="1"/>
      <c r="B42" s="1"/>
      <c r="C42" s="157"/>
      <c r="D42" s="157"/>
      <c r="E42" s="157"/>
      <c r="F42" s="157"/>
      <c r="G42" s="157"/>
      <c r="H42" s="157"/>
      <c r="J42" t="str">
        <f t="shared" si="0"/>
        <v/>
      </c>
    </row>
    <row r="43" spans="1:10" x14ac:dyDescent="0.3">
      <c r="A43" s="1"/>
      <c r="B43" s="1"/>
      <c r="C43" s="157"/>
      <c r="D43" s="157"/>
      <c r="E43" s="157"/>
      <c r="F43" s="157"/>
      <c r="G43" s="157"/>
      <c r="H43" s="157"/>
      <c r="J43" t="str">
        <f t="shared" si="0"/>
        <v/>
      </c>
    </row>
    <row r="44" spans="1:10" x14ac:dyDescent="0.3">
      <c r="A44" s="1"/>
      <c r="B44" s="1"/>
      <c r="C44" s="157"/>
      <c r="D44" s="157"/>
      <c r="E44" s="157"/>
      <c r="F44" s="157"/>
      <c r="G44" s="157"/>
      <c r="H44" s="157"/>
      <c r="J44" t="str">
        <f t="shared" si="0"/>
        <v/>
      </c>
    </row>
    <row r="45" spans="1:10" x14ac:dyDescent="0.3">
      <c r="A45" s="1"/>
      <c r="B45" s="1"/>
      <c r="C45" s="157"/>
      <c r="D45" s="157"/>
      <c r="E45" s="157"/>
      <c r="F45" s="157"/>
      <c r="G45" s="157"/>
      <c r="H45" s="157"/>
      <c r="J45" t="str">
        <f t="shared" si="0"/>
        <v/>
      </c>
    </row>
    <row r="46" spans="1:10" x14ac:dyDescent="0.3">
      <c r="A46" s="1"/>
      <c r="B46" s="1"/>
      <c r="C46" s="157"/>
      <c r="D46" s="157"/>
      <c r="E46" s="157"/>
      <c r="F46" s="157"/>
      <c r="G46" s="157"/>
      <c r="H46" s="157"/>
      <c r="J46" t="str">
        <f t="shared" si="0"/>
        <v/>
      </c>
    </row>
    <row r="47" spans="1:10" x14ac:dyDescent="0.3">
      <c r="A47" s="1"/>
      <c r="B47" s="1"/>
      <c r="C47" s="157"/>
      <c r="D47" s="157"/>
      <c r="E47" s="157"/>
      <c r="F47" s="157"/>
      <c r="G47" s="157"/>
      <c r="H47" s="157"/>
      <c r="J47" t="str">
        <f t="shared" si="0"/>
        <v/>
      </c>
    </row>
    <row r="48" spans="1:10" x14ac:dyDescent="0.3">
      <c r="A48" s="1"/>
      <c r="B48" s="1"/>
      <c r="C48" s="157"/>
      <c r="D48" s="157"/>
      <c r="E48" s="157"/>
      <c r="F48" s="157"/>
      <c r="G48" s="157"/>
      <c r="H48" s="157"/>
      <c r="J48" t="str">
        <f t="shared" si="0"/>
        <v/>
      </c>
    </row>
    <row r="49" spans="1:10" x14ac:dyDescent="0.3">
      <c r="A49" s="1"/>
      <c r="B49" s="1"/>
      <c r="C49" s="157"/>
      <c r="D49" s="157"/>
      <c r="E49" s="157"/>
      <c r="F49" s="157"/>
      <c r="G49" s="157"/>
      <c r="H49" s="157"/>
      <c r="J49" t="str">
        <f t="shared" si="0"/>
        <v/>
      </c>
    </row>
    <row r="50" spans="1:10" x14ac:dyDescent="0.3">
      <c r="A50" s="1"/>
      <c r="B50" s="1"/>
      <c r="C50" s="157"/>
      <c r="D50" s="157"/>
      <c r="E50" s="157"/>
      <c r="F50" s="157"/>
      <c r="G50" s="157"/>
      <c r="H50" s="157"/>
      <c r="J50" t="str">
        <f t="shared" si="0"/>
        <v/>
      </c>
    </row>
    <row r="51" spans="1:10" x14ac:dyDescent="0.3">
      <c r="A51" s="1"/>
      <c r="B51" s="1"/>
      <c r="C51" s="157"/>
      <c r="D51" s="157"/>
      <c r="E51" s="157"/>
      <c r="F51" s="157"/>
      <c r="G51" s="157"/>
      <c r="H51" s="157"/>
      <c r="J51" t="str">
        <f t="shared" si="0"/>
        <v/>
      </c>
    </row>
    <row r="52" spans="1:10" x14ac:dyDescent="0.3">
      <c r="A52" s="1"/>
      <c r="B52" s="1"/>
      <c r="C52" s="157"/>
      <c r="D52" s="157"/>
      <c r="E52" s="157"/>
      <c r="F52" s="157"/>
      <c r="G52" s="157"/>
      <c r="H52" s="157"/>
      <c r="J52" t="str">
        <f t="shared" si="0"/>
        <v/>
      </c>
    </row>
    <row r="53" spans="1:10" x14ac:dyDescent="0.3">
      <c r="A53" s="1"/>
      <c r="B53" s="1"/>
      <c r="C53" s="157"/>
      <c r="D53" s="157"/>
      <c r="E53" s="157"/>
      <c r="F53" s="157"/>
      <c r="G53" s="157"/>
      <c r="H53" s="157"/>
      <c r="J53" t="str">
        <f t="shared" si="0"/>
        <v/>
      </c>
    </row>
    <row r="54" spans="1:10" x14ac:dyDescent="0.3">
      <c r="A54" s="1"/>
      <c r="B54" s="1"/>
      <c r="C54" s="157"/>
      <c r="D54" s="157"/>
      <c r="E54" s="157"/>
      <c r="F54" s="157"/>
      <c r="G54" s="157"/>
      <c r="H54" s="157"/>
      <c r="J54" t="str">
        <f t="shared" si="0"/>
        <v/>
      </c>
    </row>
    <row r="55" spans="1:10" x14ac:dyDescent="0.3">
      <c r="A55" s="1"/>
      <c r="B55" s="1"/>
      <c r="C55" s="157"/>
      <c r="D55" s="157"/>
      <c r="E55" s="157"/>
      <c r="F55" s="157"/>
      <c r="G55" s="157"/>
      <c r="H55" s="157"/>
      <c r="J55" t="str">
        <f t="shared" si="0"/>
        <v/>
      </c>
    </row>
    <row r="56" spans="1:10" x14ac:dyDescent="0.3">
      <c r="A56" s="1"/>
      <c r="B56" s="1"/>
      <c r="C56" s="157"/>
      <c r="D56" s="157"/>
      <c r="E56" s="157"/>
      <c r="F56" s="157"/>
      <c r="G56" s="157"/>
      <c r="H56" s="157"/>
      <c r="J56" t="str">
        <f t="shared" si="0"/>
        <v/>
      </c>
    </row>
    <row r="57" spans="1:10" x14ac:dyDescent="0.3">
      <c r="A57" s="1"/>
      <c r="B57" s="1"/>
      <c r="C57" s="157"/>
      <c r="D57" s="157"/>
      <c r="E57" s="157"/>
      <c r="F57" s="157"/>
      <c r="G57" s="157"/>
      <c r="H57" s="157"/>
      <c r="J57" t="str">
        <f t="shared" si="0"/>
        <v/>
      </c>
    </row>
    <row r="58" spans="1:10" x14ac:dyDescent="0.3">
      <c r="A58" s="1"/>
      <c r="B58" s="1"/>
      <c r="C58" s="157"/>
      <c r="D58" s="157"/>
      <c r="E58" s="157"/>
      <c r="F58" s="157"/>
      <c r="G58" s="157"/>
      <c r="H58" s="157"/>
      <c r="J58" t="str">
        <f t="shared" si="0"/>
        <v/>
      </c>
    </row>
    <row r="59" spans="1:10" x14ac:dyDescent="0.3">
      <c r="A59" s="1"/>
      <c r="B59" s="1"/>
      <c r="C59" s="157"/>
      <c r="D59" s="157"/>
      <c r="E59" s="157"/>
      <c r="F59" s="157"/>
      <c r="G59" s="157"/>
      <c r="H59" s="157"/>
      <c r="J59" t="str">
        <f t="shared" si="0"/>
        <v/>
      </c>
    </row>
    <row r="60" spans="1:10" x14ac:dyDescent="0.3">
      <c r="A60" s="1"/>
      <c r="B60" s="1"/>
      <c r="C60" s="157"/>
      <c r="D60" s="157"/>
      <c r="E60" s="157"/>
      <c r="F60" s="157"/>
      <c r="G60" s="157"/>
      <c r="H60" s="157"/>
      <c r="J60" t="str">
        <f t="shared" si="0"/>
        <v/>
      </c>
    </row>
    <row r="61" spans="1:10" x14ac:dyDescent="0.3">
      <c r="A61" s="1"/>
      <c r="B61" s="1"/>
      <c r="C61" s="157"/>
      <c r="D61" s="157"/>
      <c r="E61" s="157"/>
      <c r="F61" s="157"/>
      <c r="G61" s="157"/>
      <c r="H61" s="157"/>
      <c r="J61" t="str">
        <f t="shared" si="0"/>
        <v/>
      </c>
    </row>
    <row r="62" spans="1:10" x14ac:dyDescent="0.3">
      <c r="A62" s="1"/>
      <c r="B62" s="1"/>
      <c r="C62" s="157"/>
      <c r="D62" s="157"/>
      <c r="E62" s="157"/>
      <c r="F62" s="157"/>
      <c r="G62" s="157"/>
      <c r="H62" s="157"/>
      <c r="J62" t="str">
        <f t="shared" si="0"/>
        <v/>
      </c>
    </row>
    <row r="63" spans="1:10" x14ac:dyDescent="0.3">
      <c r="A63" s="1"/>
      <c r="B63" s="1"/>
      <c r="C63" s="157"/>
      <c r="D63" s="157"/>
      <c r="E63" s="157"/>
      <c r="F63" s="157"/>
      <c r="G63" s="157"/>
      <c r="H63" s="157"/>
      <c r="J63" t="str">
        <f t="shared" si="0"/>
        <v/>
      </c>
    </row>
    <row r="64" spans="1:10" x14ac:dyDescent="0.3">
      <c r="A64" s="1"/>
      <c r="B64" s="1"/>
      <c r="C64" s="157"/>
      <c r="D64" s="157"/>
      <c r="E64" s="157"/>
      <c r="F64" s="157"/>
      <c r="G64" s="157"/>
      <c r="H64" s="157"/>
      <c r="J64" t="str">
        <f t="shared" si="0"/>
        <v/>
      </c>
    </row>
    <row r="65" spans="1:10" x14ac:dyDescent="0.3">
      <c r="A65" s="1"/>
      <c r="B65" s="1"/>
      <c r="C65" s="157"/>
      <c r="D65" s="157"/>
      <c r="E65" s="157"/>
      <c r="F65" s="157"/>
      <c r="G65" s="157"/>
      <c r="H65" s="157"/>
      <c r="J65" t="str">
        <f t="shared" si="0"/>
        <v/>
      </c>
    </row>
    <row r="66" spans="1:10" x14ac:dyDescent="0.3">
      <c r="A66" s="1"/>
      <c r="B66" s="1"/>
      <c r="C66" s="157"/>
      <c r="D66" s="157"/>
      <c r="E66" s="157"/>
      <c r="F66" s="157"/>
      <c r="G66" s="157"/>
      <c r="H66" s="157"/>
      <c r="J66" t="str">
        <f t="shared" ref="J66:J129" si="1">IF(B66 &lt;&gt; "",(IF(C66&lt;&gt;"",CONCATENATE(A66, " ", B66,"  - ",C66,IF(D66&lt;&gt;"","/",""),D66),CONCATENATE(A66, " ",B66,IF(D66&lt;&gt;"","  - ",""),D66))),"")</f>
        <v/>
      </c>
    </row>
    <row r="67" spans="1:10" x14ac:dyDescent="0.3">
      <c r="A67" s="1"/>
      <c r="B67" s="1"/>
      <c r="C67" s="157"/>
      <c r="D67" s="157"/>
      <c r="E67" s="157"/>
      <c r="F67" s="157"/>
      <c r="G67" s="157"/>
      <c r="H67" s="157"/>
      <c r="J67" t="str">
        <f t="shared" si="1"/>
        <v/>
      </c>
    </row>
    <row r="68" spans="1:10" x14ac:dyDescent="0.3">
      <c r="A68" s="1"/>
      <c r="B68" s="1"/>
      <c r="C68" s="157"/>
      <c r="D68" s="157"/>
      <c r="E68" s="157"/>
      <c r="F68" s="157"/>
      <c r="G68" s="157"/>
      <c r="H68" s="157"/>
      <c r="J68" t="str">
        <f t="shared" si="1"/>
        <v/>
      </c>
    </row>
    <row r="69" spans="1:10" x14ac:dyDescent="0.3">
      <c r="A69" s="1"/>
      <c r="B69" s="1"/>
      <c r="C69" s="157"/>
      <c r="D69" s="157"/>
      <c r="E69" s="157"/>
      <c r="F69" s="157"/>
      <c r="G69" s="157"/>
      <c r="H69" s="157"/>
      <c r="J69" t="str">
        <f t="shared" si="1"/>
        <v/>
      </c>
    </row>
    <row r="70" spans="1:10" x14ac:dyDescent="0.3">
      <c r="A70" s="1"/>
      <c r="B70" s="1"/>
      <c r="C70" s="157"/>
      <c r="D70" s="157"/>
      <c r="E70" s="157"/>
      <c r="F70" s="157"/>
      <c r="G70" s="157"/>
      <c r="H70" s="157"/>
      <c r="J70" t="str">
        <f t="shared" si="1"/>
        <v/>
      </c>
    </row>
    <row r="71" spans="1:10" x14ac:dyDescent="0.3">
      <c r="A71" s="1"/>
      <c r="B71" s="1"/>
      <c r="C71" s="157"/>
      <c r="D71" s="157"/>
      <c r="E71" s="157"/>
      <c r="F71" s="157"/>
      <c r="G71" s="157"/>
      <c r="H71" s="157"/>
      <c r="J71" t="str">
        <f t="shared" si="1"/>
        <v/>
      </c>
    </row>
    <row r="72" spans="1:10" x14ac:dyDescent="0.3">
      <c r="A72" s="1"/>
      <c r="B72" s="1"/>
      <c r="C72" s="157"/>
      <c r="D72" s="157"/>
      <c r="E72" s="157"/>
      <c r="F72" s="157"/>
      <c r="G72" s="157"/>
      <c r="H72" s="157"/>
      <c r="J72" t="str">
        <f t="shared" si="1"/>
        <v/>
      </c>
    </row>
    <row r="73" spans="1:10" x14ac:dyDescent="0.3">
      <c r="A73" s="1"/>
      <c r="B73" s="1"/>
      <c r="C73" s="157"/>
      <c r="D73" s="157"/>
      <c r="E73" s="157"/>
      <c r="F73" s="157"/>
      <c r="G73" s="157"/>
      <c r="H73" s="157"/>
      <c r="J73" t="str">
        <f t="shared" si="1"/>
        <v/>
      </c>
    </row>
    <row r="74" spans="1:10" x14ac:dyDescent="0.3">
      <c r="A74" s="1"/>
      <c r="B74" s="1"/>
      <c r="C74" s="157"/>
      <c r="D74" s="157"/>
      <c r="E74" s="157"/>
      <c r="F74" s="157"/>
      <c r="G74" s="157"/>
      <c r="H74" s="157"/>
      <c r="J74" t="str">
        <f t="shared" si="1"/>
        <v/>
      </c>
    </row>
    <row r="75" spans="1:10" x14ac:dyDescent="0.3">
      <c r="A75" s="1"/>
      <c r="B75" s="1"/>
      <c r="C75" s="157"/>
      <c r="D75" s="157"/>
      <c r="E75" s="157"/>
      <c r="F75" s="157"/>
      <c r="G75" s="157"/>
      <c r="H75" s="157"/>
      <c r="J75" t="str">
        <f t="shared" si="1"/>
        <v/>
      </c>
    </row>
    <row r="76" spans="1:10" x14ac:dyDescent="0.3">
      <c r="A76" s="1"/>
      <c r="B76" s="1"/>
      <c r="C76" s="157"/>
      <c r="D76" s="157"/>
      <c r="E76" s="157"/>
      <c r="F76" s="157"/>
      <c r="G76" s="157"/>
      <c r="H76" s="157"/>
      <c r="J76" t="str">
        <f t="shared" si="1"/>
        <v/>
      </c>
    </row>
    <row r="77" spans="1:10" x14ac:dyDescent="0.3">
      <c r="A77" s="1"/>
      <c r="B77" s="1"/>
      <c r="C77" s="157"/>
      <c r="D77" s="157"/>
      <c r="E77" s="157"/>
      <c r="F77" s="157"/>
      <c r="G77" s="157"/>
      <c r="H77" s="157"/>
      <c r="J77" t="str">
        <f t="shared" si="1"/>
        <v/>
      </c>
    </row>
    <row r="78" spans="1:10" x14ac:dyDescent="0.3">
      <c r="A78" s="1"/>
      <c r="B78" s="1"/>
      <c r="C78" s="157"/>
      <c r="D78" s="157"/>
      <c r="E78" s="157"/>
      <c r="F78" s="157"/>
      <c r="G78" s="157"/>
      <c r="H78" s="157"/>
      <c r="J78" t="str">
        <f t="shared" si="1"/>
        <v/>
      </c>
    </row>
    <row r="79" spans="1:10" x14ac:dyDescent="0.3">
      <c r="A79" s="1"/>
      <c r="B79" s="1"/>
      <c r="C79" s="157"/>
      <c r="D79" s="157"/>
      <c r="E79" s="157"/>
      <c r="F79" s="157"/>
      <c r="G79" s="157"/>
      <c r="H79" s="157"/>
      <c r="J79" t="str">
        <f t="shared" si="1"/>
        <v/>
      </c>
    </row>
    <row r="80" spans="1:10" x14ac:dyDescent="0.3">
      <c r="A80" s="1"/>
      <c r="B80" s="1"/>
      <c r="C80" s="157"/>
      <c r="D80" s="157"/>
      <c r="E80" s="157"/>
      <c r="F80" s="157"/>
      <c r="G80" s="157"/>
      <c r="H80" s="157"/>
      <c r="J80" t="str">
        <f t="shared" si="1"/>
        <v/>
      </c>
    </row>
    <row r="81" spans="1:10" x14ac:dyDescent="0.3">
      <c r="A81" s="1"/>
      <c r="B81" s="1"/>
      <c r="C81" s="157"/>
      <c r="D81" s="157"/>
      <c r="E81" s="157"/>
      <c r="F81" s="157"/>
      <c r="G81" s="157"/>
      <c r="H81" s="157"/>
      <c r="J81" t="str">
        <f t="shared" si="1"/>
        <v/>
      </c>
    </row>
    <row r="82" spans="1:10" x14ac:dyDescent="0.3">
      <c r="A82" s="1"/>
      <c r="B82" s="1"/>
      <c r="C82" s="157"/>
      <c r="D82" s="157"/>
      <c r="E82" s="157"/>
      <c r="F82" s="157"/>
      <c r="G82" s="157"/>
      <c r="H82" s="157"/>
      <c r="J82" t="str">
        <f t="shared" si="1"/>
        <v/>
      </c>
    </row>
    <row r="83" spans="1:10" x14ac:dyDescent="0.3">
      <c r="A83" s="1"/>
      <c r="B83" s="1"/>
      <c r="C83" s="157"/>
      <c r="D83" s="157"/>
      <c r="E83" s="157"/>
      <c r="F83" s="157"/>
      <c r="G83" s="157"/>
      <c r="H83" s="157"/>
      <c r="J83" t="str">
        <f t="shared" si="1"/>
        <v/>
      </c>
    </row>
    <row r="84" spans="1:10" x14ac:dyDescent="0.3">
      <c r="A84" s="1"/>
      <c r="B84" s="1"/>
      <c r="C84" s="157"/>
      <c r="D84" s="157"/>
      <c r="E84" s="157"/>
      <c r="F84" s="157"/>
      <c r="G84" s="157"/>
      <c r="H84" s="157"/>
      <c r="J84" t="str">
        <f t="shared" si="1"/>
        <v/>
      </c>
    </row>
    <row r="85" spans="1:10" x14ac:dyDescent="0.3">
      <c r="A85" s="1"/>
      <c r="B85" s="1"/>
      <c r="C85" s="157"/>
      <c r="D85" s="157"/>
      <c r="E85" s="157"/>
      <c r="F85" s="157"/>
      <c r="G85" s="157"/>
      <c r="H85" s="157"/>
      <c r="J85" t="str">
        <f t="shared" si="1"/>
        <v/>
      </c>
    </row>
    <row r="86" spans="1:10" x14ac:dyDescent="0.3">
      <c r="A86" s="1"/>
      <c r="B86" s="1"/>
      <c r="C86" s="157"/>
      <c r="D86" s="157"/>
      <c r="E86" s="157"/>
      <c r="F86" s="157"/>
      <c r="G86" s="157"/>
      <c r="H86" s="157"/>
      <c r="J86" t="str">
        <f t="shared" si="1"/>
        <v/>
      </c>
    </row>
    <row r="87" spans="1:10" x14ac:dyDescent="0.3">
      <c r="A87" s="1"/>
      <c r="B87" s="1"/>
      <c r="C87" s="157"/>
      <c r="D87" s="157"/>
      <c r="E87" s="157"/>
      <c r="F87" s="157"/>
      <c r="G87" s="157"/>
      <c r="H87" s="157"/>
      <c r="J87" t="str">
        <f t="shared" si="1"/>
        <v/>
      </c>
    </row>
    <row r="88" spans="1:10" x14ac:dyDescent="0.3">
      <c r="A88" s="1"/>
      <c r="B88" s="1"/>
      <c r="C88" s="157"/>
      <c r="D88" s="157"/>
      <c r="E88" s="157"/>
      <c r="F88" s="157"/>
      <c r="G88" s="157"/>
      <c r="H88" s="157"/>
      <c r="J88" t="str">
        <f t="shared" si="1"/>
        <v/>
      </c>
    </row>
    <row r="89" spans="1:10" x14ac:dyDescent="0.3">
      <c r="A89" s="1"/>
      <c r="B89" s="1"/>
      <c r="C89" s="157"/>
      <c r="D89" s="157"/>
      <c r="E89" s="157"/>
      <c r="F89" s="157"/>
      <c r="G89" s="157"/>
      <c r="H89" s="157"/>
      <c r="J89" t="str">
        <f t="shared" si="1"/>
        <v/>
      </c>
    </row>
    <row r="90" spans="1:10" x14ac:dyDescent="0.3">
      <c r="A90" s="1"/>
      <c r="B90" s="1"/>
      <c r="C90" s="157"/>
      <c r="D90" s="157"/>
      <c r="E90" s="157"/>
      <c r="F90" s="157"/>
      <c r="G90" s="157"/>
      <c r="H90" s="157"/>
      <c r="J90" t="str">
        <f t="shared" si="1"/>
        <v/>
      </c>
    </row>
    <row r="91" spans="1:10" x14ac:dyDescent="0.3">
      <c r="A91" s="1"/>
      <c r="B91" s="1"/>
      <c r="C91" s="157"/>
      <c r="D91" s="157"/>
      <c r="E91" s="157"/>
      <c r="F91" s="157"/>
      <c r="G91" s="157"/>
      <c r="H91" s="157"/>
      <c r="J91" t="str">
        <f t="shared" si="1"/>
        <v/>
      </c>
    </row>
    <row r="92" spans="1:10" x14ac:dyDescent="0.3">
      <c r="A92" s="1"/>
      <c r="B92" s="1"/>
      <c r="C92" s="157"/>
      <c r="D92" s="157"/>
      <c r="E92" s="157"/>
      <c r="F92" s="157"/>
      <c r="G92" s="157"/>
      <c r="H92" s="157"/>
      <c r="J92" t="str">
        <f t="shared" si="1"/>
        <v/>
      </c>
    </row>
    <row r="93" spans="1:10" x14ac:dyDescent="0.3">
      <c r="A93" s="1"/>
      <c r="B93" s="1"/>
      <c r="C93" s="157"/>
      <c r="D93" s="157"/>
      <c r="E93" s="157"/>
      <c r="F93" s="157"/>
      <c r="G93" s="157"/>
      <c r="H93" s="157"/>
      <c r="J93" t="str">
        <f t="shared" si="1"/>
        <v/>
      </c>
    </row>
    <row r="94" spans="1:10" x14ac:dyDescent="0.3">
      <c r="A94" s="1"/>
      <c r="B94" s="1"/>
      <c r="C94" s="157"/>
      <c r="D94" s="157"/>
      <c r="E94" s="157"/>
      <c r="F94" s="157"/>
      <c r="G94" s="157"/>
      <c r="H94" s="157"/>
      <c r="J94" t="str">
        <f t="shared" si="1"/>
        <v/>
      </c>
    </row>
    <row r="95" spans="1:10" x14ac:dyDescent="0.3">
      <c r="A95" s="1"/>
      <c r="B95" s="1"/>
      <c r="C95" s="157"/>
      <c r="D95" s="157"/>
      <c r="E95" s="157"/>
      <c r="F95" s="157"/>
      <c r="G95" s="157"/>
      <c r="H95" s="157"/>
      <c r="J95" t="str">
        <f t="shared" si="1"/>
        <v/>
      </c>
    </row>
    <row r="96" spans="1:10" x14ac:dyDescent="0.3">
      <c r="A96" s="1"/>
      <c r="B96" s="1"/>
      <c r="C96" s="157"/>
      <c r="D96" s="157"/>
      <c r="E96" s="157"/>
      <c r="F96" s="157"/>
      <c r="G96" s="157"/>
      <c r="H96" s="157"/>
      <c r="J96" t="str">
        <f t="shared" si="1"/>
        <v/>
      </c>
    </row>
    <row r="97" spans="1:10" x14ac:dyDescent="0.3">
      <c r="A97" s="1"/>
      <c r="B97" s="1"/>
      <c r="C97" s="157"/>
      <c r="D97" s="157"/>
      <c r="E97" s="157"/>
      <c r="F97" s="157"/>
      <c r="G97" s="157"/>
      <c r="H97" s="157"/>
      <c r="J97" t="str">
        <f t="shared" si="1"/>
        <v/>
      </c>
    </row>
    <row r="98" spans="1:10" x14ac:dyDescent="0.3">
      <c r="A98" s="1"/>
      <c r="B98" s="1"/>
      <c r="C98" s="157"/>
      <c r="D98" s="157"/>
      <c r="E98" s="157"/>
      <c r="F98" s="157"/>
      <c r="G98" s="157"/>
      <c r="H98" s="157"/>
      <c r="J98" t="str">
        <f t="shared" si="1"/>
        <v/>
      </c>
    </row>
    <row r="99" spans="1:10" x14ac:dyDescent="0.3">
      <c r="A99" s="1"/>
      <c r="B99" s="1"/>
      <c r="C99" s="157"/>
      <c r="D99" s="157"/>
      <c r="E99" s="157"/>
      <c r="F99" s="157"/>
      <c r="G99" s="157"/>
      <c r="H99" s="157"/>
      <c r="J99" t="str">
        <f t="shared" si="1"/>
        <v/>
      </c>
    </row>
    <row r="100" spans="1:10" x14ac:dyDescent="0.3">
      <c r="A100" s="1"/>
      <c r="B100" s="1"/>
      <c r="C100" s="157"/>
      <c r="D100" s="157"/>
      <c r="E100" s="157"/>
      <c r="F100" s="157"/>
      <c r="G100" s="157"/>
      <c r="H100" s="157"/>
      <c r="J100" t="str">
        <f t="shared" si="1"/>
        <v/>
      </c>
    </row>
    <row r="101" spans="1:10" x14ac:dyDescent="0.3">
      <c r="A101" s="1"/>
      <c r="B101" s="1"/>
      <c r="C101" s="157"/>
      <c r="D101" s="157"/>
      <c r="E101" s="157"/>
      <c r="F101" s="157"/>
      <c r="G101" s="157"/>
      <c r="H101" s="157"/>
      <c r="J101" t="str">
        <f t="shared" si="1"/>
        <v/>
      </c>
    </row>
    <row r="102" spans="1:10" x14ac:dyDescent="0.3">
      <c r="A102" s="1"/>
      <c r="B102" s="1"/>
      <c r="C102" s="157"/>
      <c r="D102" s="157"/>
      <c r="E102" s="157"/>
      <c r="F102" s="157"/>
      <c r="G102" s="157"/>
      <c r="H102" s="157"/>
      <c r="J102" t="str">
        <f t="shared" si="1"/>
        <v/>
      </c>
    </row>
    <row r="103" spans="1:10" x14ac:dyDescent="0.3">
      <c r="A103" s="1"/>
      <c r="B103" s="1"/>
      <c r="C103" s="157"/>
      <c r="D103" s="157"/>
      <c r="E103" s="157"/>
      <c r="F103" s="157"/>
      <c r="G103" s="157"/>
      <c r="H103" s="157"/>
      <c r="J103" t="str">
        <f t="shared" si="1"/>
        <v/>
      </c>
    </row>
    <row r="104" spans="1:10" x14ac:dyDescent="0.3">
      <c r="A104" s="1"/>
      <c r="B104" s="1"/>
      <c r="C104" s="157"/>
      <c r="D104" s="157"/>
      <c r="E104" s="157"/>
      <c r="F104" s="157"/>
      <c r="G104" s="157"/>
      <c r="H104" s="157"/>
      <c r="J104" t="str">
        <f t="shared" si="1"/>
        <v/>
      </c>
    </row>
    <row r="105" spans="1:10" x14ac:dyDescent="0.3">
      <c r="A105" s="1"/>
      <c r="B105" s="1"/>
      <c r="C105" s="157"/>
      <c r="D105" s="157"/>
      <c r="E105" s="157"/>
      <c r="F105" s="157"/>
      <c r="G105" s="157"/>
      <c r="H105" s="157"/>
      <c r="J105" t="str">
        <f t="shared" si="1"/>
        <v/>
      </c>
    </row>
    <row r="106" spans="1:10" x14ac:dyDescent="0.3">
      <c r="A106" s="1"/>
      <c r="B106" s="1"/>
      <c r="C106" s="157"/>
      <c r="D106" s="157"/>
      <c r="E106" s="157"/>
      <c r="F106" s="157"/>
      <c r="G106" s="157"/>
      <c r="H106" s="157"/>
      <c r="J106" t="str">
        <f t="shared" si="1"/>
        <v/>
      </c>
    </row>
    <row r="107" spans="1:10" x14ac:dyDescent="0.3">
      <c r="A107" s="1"/>
      <c r="B107" s="1"/>
      <c r="C107" s="157"/>
      <c r="D107" s="157"/>
      <c r="E107" s="157"/>
      <c r="F107" s="157"/>
      <c r="G107" s="157"/>
      <c r="H107" s="157"/>
      <c r="J107" t="str">
        <f t="shared" si="1"/>
        <v/>
      </c>
    </row>
    <row r="108" spans="1:10" x14ac:dyDescent="0.3">
      <c r="A108" s="1"/>
      <c r="B108" s="1"/>
      <c r="C108" s="157"/>
      <c r="D108" s="157"/>
      <c r="E108" s="157"/>
      <c r="F108" s="157"/>
      <c r="G108" s="157"/>
      <c r="H108" s="157"/>
      <c r="J108" t="str">
        <f t="shared" si="1"/>
        <v/>
      </c>
    </row>
    <row r="109" spans="1:10" x14ac:dyDescent="0.3">
      <c r="A109" s="1"/>
      <c r="B109" s="1"/>
      <c r="C109" s="157"/>
      <c r="D109" s="157"/>
      <c r="E109" s="157"/>
      <c r="F109" s="157"/>
      <c r="G109" s="157"/>
      <c r="H109" s="157"/>
      <c r="J109" t="str">
        <f t="shared" si="1"/>
        <v/>
      </c>
    </row>
    <row r="110" spans="1:10" x14ac:dyDescent="0.3">
      <c r="A110" s="1"/>
      <c r="B110" s="1"/>
      <c r="C110" s="157"/>
      <c r="D110" s="157"/>
      <c r="E110" s="157"/>
      <c r="F110" s="157"/>
      <c r="G110" s="157"/>
      <c r="H110" s="157"/>
      <c r="J110" t="str">
        <f t="shared" si="1"/>
        <v/>
      </c>
    </row>
    <row r="111" spans="1:10" x14ac:dyDescent="0.3">
      <c r="A111" s="1"/>
      <c r="B111" s="1"/>
      <c r="C111" s="157"/>
      <c r="D111" s="157"/>
      <c r="E111" s="157"/>
      <c r="F111" s="157"/>
      <c r="G111" s="157"/>
      <c r="H111" s="157"/>
      <c r="J111" t="str">
        <f t="shared" si="1"/>
        <v/>
      </c>
    </row>
    <row r="112" spans="1:10" x14ac:dyDescent="0.3">
      <c r="A112" s="1"/>
      <c r="B112" s="1"/>
      <c r="C112" s="157"/>
      <c r="D112" s="157"/>
      <c r="E112" s="157"/>
      <c r="F112" s="157"/>
      <c r="G112" s="157"/>
      <c r="H112" s="157"/>
      <c r="J112" t="str">
        <f t="shared" si="1"/>
        <v/>
      </c>
    </row>
    <row r="113" spans="1:10" x14ac:dyDescent="0.3">
      <c r="A113" s="1"/>
      <c r="B113" s="1"/>
      <c r="C113" s="157"/>
      <c r="D113" s="157"/>
      <c r="E113" s="157"/>
      <c r="F113" s="157"/>
      <c r="G113" s="157"/>
      <c r="H113" s="157"/>
      <c r="J113" t="str">
        <f t="shared" si="1"/>
        <v/>
      </c>
    </row>
    <row r="114" spans="1:10" x14ac:dyDescent="0.3">
      <c r="A114" s="1"/>
      <c r="B114" s="1"/>
      <c r="C114" s="157"/>
      <c r="D114" s="157"/>
      <c r="E114" s="157"/>
      <c r="F114" s="157"/>
      <c r="G114" s="157"/>
      <c r="H114" s="157"/>
      <c r="J114" t="str">
        <f t="shared" si="1"/>
        <v/>
      </c>
    </row>
    <row r="115" spans="1:10" x14ac:dyDescent="0.3">
      <c r="A115" s="1"/>
      <c r="B115" s="1"/>
      <c r="C115" s="157"/>
      <c r="D115" s="157"/>
      <c r="E115" s="157"/>
      <c r="F115" s="157"/>
      <c r="G115" s="157"/>
      <c r="H115" s="157"/>
      <c r="J115" t="str">
        <f t="shared" si="1"/>
        <v/>
      </c>
    </row>
    <row r="116" spans="1:10" x14ac:dyDescent="0.3">
      <c r="A116" s="1"/>
      <c r="B116" s="1"/>
      <c r="C116" s="157"/>
      <c r="D116" s="157"/>
      <c r="E116" s="157"/>
      <c r="F116" s="157"/>
      <c r="G116" s="157"/>
      <c r="H116" s="157"/>
      <c r="J116" t="str">
        <f t="shared" si="1"/>
        <v/>
      </c>
    </row>
    <row r="117" spans="1:10" x14ac:dyDescent="0.3">
      <c r="A117" s="1"/>
      <c r="B117" s="1"/>
      <c r="C117" s="157"/>
      <c r="D117" s="157"/>
      <c r="E117" s="157"/>
      <c r="F117" s="157"/>
      <c r="G117" s="157"/>
      <c r="H117" s="157"/>
      <c r="J117" t="str">
        <f t="shared" si="1"/>
        <v/>
      </c>
    </row>
    <row r="118" spans="1:10" x14ac:dyDescent="0.3">
      <c r="A118" s="1"/>
      <c r="B118" s="1"/>
      <c r="C118" s="157"/>
      <c r="D118" s="157"/>
      <c r="E118" s="157"/>
      <c r="F118" s="157"/>
      <c r="G118" s="157"/>
      <c r="H118" s="157"/>
      <c r="J118" t="str">
        <f t="shared" si="1"/>
        <v/>
      </c>
    </row>
    <row r="119" spans="1:10" x14ac:dyDescent="0.3">
      <c r="A119" s="1"/>
      <c r="B119" s="1"/>
      <c r="C119" s="157"/>
      <c r="D119" s="157"/>
      <c r="E119" s="157"/>
      <c r="F119" s="157"/>
      <c r="G119" s="157"/>
      <c r="H119" s="157"/>
      <c r="J119" t="str">
        <f t="shared" si="1"/>
        <v/>
      </c>
    </row>
    <row r="120" spans="1:10" x14ac:dyDescent="0.3">
      <c r="A120" s="1"/>
      <c r="B120" s="1"/>
      <c r="C120" s="157"/>
      <c r="D120" s="157"/>
      <c r="E120" s="157"/>
      <c r="F120" s="157"/>
      <c r="G120" s="157"/>
      <c r="H120" s="157"/>
      <c r="J120" t="str">
        <f t="shared" si="1"/>
        <v/>
      </c>
    </row>
    <row r="121" spans="1:10" x14ac:dyDescent="0.3">
      <c r="A121" s="1"/>
      <c r="B121" s="1"/>
      <c r="C121" s="157"/>
      <c r="D121" s="157"/>
      <c r="E121" s="157"/>
      <c r="F121" s="157"/>
      <c r="G121" s="157"/>
      <c r="H121" s="157"/>
      <c r="J121" t="str">
        <f t="shared" si="1"/>
        <v/>
      </c>
    </row>
    <row r="122" spans="1:10" x14ac:dyDescent="0.3">
      <c r="A122" s="1"/>
      <c r="B122" s="1"/>
      <c r="C122" s="157"/>
      <c r="D122" s="157"/>
      <c r="E122" s="157"/>
      <c r="F122" s="157"/>
      <c r="G122" s="157"/>
      <c r="H122" s="157"/>
      <c r="J122" t="str">
        <f t="shared" si="1"/>
        <v/>
      </c>
    </row>
    <row r="123" spans="1:10" x14ac:dyDescent="0.3">
      <c r="A123" s="1"/>
      <c r="B123" s="1"/>
      <c r="C123" s="157"/>
      <c r="D123" s="157"/>
      <c r="E123" s="157"/>
      <c r="F123" s="157"/>
      <c r="G123" s="157"/>
      <c r="H123" s="157"/>
      <c r="J123" t="str">
        <f t="shared" si="1"/>
        <v/>
      </c>
    </row>
    <row r="124" spans="1:10" x14ac:dyDescent="0.3">
      <c r="A124" s="1"/>
      <c r="B124" s="1"/>
      <c r="C124" s="157"/>
      <c r="D124" s="157"/>
      <c r="E124" s="157"/>
      <c r="F124" s="157"/>
      <c r="G124" s="157"/>
      <c r="H124" s="157"/>
      <c r="J124" t="str">
        <f t="shared" si="1"/>
        <v/>
      </c>
    </row>
    <row r="125" spans="1:10" x14ac:dyDescent="0.3">
      <c r="A125" s="1"/>
      <c r="B125" s="1"/>
      <c r="C125" s="157"/>
      <c r="D125" s="157"/>
      <c r="E125" s="157"/>
      <c r="F125" s="157"/>
      <c r="G125" s="157"/>
      <c r="H125" s="157"/>
      <c r="J125" t="str">
        <f t="shared" si="1"/>
        <v/>
      </c>
    </row>
    <row r="126" spans="1:10" x14ac:dyDescent="0.3">
      <c r="A126" s="1"/>
      <c r="B126" s="1"/>
      <c r="C126" s="157"/>
      <c r="D126" s="157"/>
      <c r="E126" s="157"/>
      <c r="F126" s="157"/>
      <c r="G126" s="157"/>
      <c r="H126" s="157"/>
      <c r="J126" t="str">
        <f t="shared" si="1"/>
        <v/>
      </c>
    </row>
    <row r="127" spans="1:10" x14ac:dyDescent="0.3">
      <c r="A127" s="1"/>
      <c r="B127" s="1"/>
      <c r="C127" s="157"/>
      <c r="D127" s="157"/>
      <c r="E127" s="157"/>
      <c r="F127" s="157"/>
      <c r="G127" s="157"/>
      <c r="H127" s="157"/>
      <c r="J127" t="str">
        <f t="shared" si="1"/>
        <v/>
      </c>
    </row>
    <row r="128" spans="1:10" x14ac:dyDescent="0.3">
      <c r="A128" s="1"/>
      <c r="B128" s="1"/>
      <c r="C128" s="157"/>
      <c r="D128" s="157"/>
      <c r="E128" s="157"/>
      <c r="F128" s="157"/>
      <c r="G128" s="157"/>
      <c r="H128" s="157"/>
      <c r="J128" t="str">
        <f t="shared" si="1"/>
        <v/>
      </c>
    </row>
    <row r="129" spans="1:10" x14ac:dyDescent="0.3">
      <c r="A129" s="1"/>
      <c r="B129" s="1"/>
      <c r="C129" s="157"/>
      <c r="D129" s="157"/>
      <c r="E129" s="157"/>
      <c r="F129" s="157"/>
      <c r="G129" s="157"/>
      <c r="H129" s="157"/>
      <c r="J129" t="str">
        <f t="shared" si="1"/>
        <v/>
      </c>
    </row>
    <row r="130" spans="1:10" x14ac:dyDescent="0.3">
      <c r="A130" s="1"/>
      <c r="B130" s="1"/>
      <c r="C130" s="157"/>
      <c r="D130" s="157"/>
      <c r="E130" s="157"/>
      <c r="F130" s="157"/>
      <c r="G130" s="157"/>
      <c r="H130" s="157"/>
      <c r="J130" t="str">
        <f t="shared" ref="J130:J193" si="2">IF(B130 &lt;&gt; "",(IF(C130&lt;&gt;"",CONCATENATE(A130, " ", B130,"  - ",C130,IF(D130&lt;&gt;"","/",""),D130),CONCATENATE(A130, " ",B130,IF(D130&lt;&gt;"","  - ",""),D130))),"")</f>
        <v/>
      </c>
    </row>
    <row r="131" spans="1:10" x14ac:dyDescent="0.3">
      <c r="A131" s="1"/>
      <c r="B131" s="1"/>
      <c r="C131" s="157"/>
      <c r="D131" s="157"/>
      <c r="E131" s="157"/>
      <c r="F131" s="157"/>
      <c r="G131" s="157"/>
      <c r="H131" s="157"/>
      <c r="J131" t="str">
        <f t="shared" si="2"/>
        <v/>
      </c>
    </row>
    <row r="132" spans="1:10" x14ac:dyDescent="0.3">
      <c r="A132" s="1"/>
      <c r="B132" s="1"/>
      <c r="C132" s="157"/>
      <c r="D132" s="157"/>
      <c r="E132" s="157"/>
      <c r="F132" s="157"/>
      <c r="G132" s="157"/>
      <c r="H132" s="157"/>
      <c r="J132" t="str">
        <f t="shared" si="2"/>
        <v/>
      </c>
    </row>
    <row r="133" spans="1:10" x14ac:dyDescent="0.3">
      <c r="A133" s="1"/>
      <c r="B133" s="1"/>
      <c r="C133" s="157"/>
      <c r="D133" s="157"/>
      <c r="E133" s="157"/>
      <c r="F133" s="157"/>
      <c r="G133" s="157"/>
      <c r="H133" s="157"/>
      <c r="J133" t="str">
        <f t="shared" si="2"/>
        <v/>
      </c>
    </row>
    <row r="134" spans="1:10" x14ac:dyDescent="0.3">
      <c r="A134" s="1"/>
      <c r="B134" s="1"/>
      <c r="C134" s="157"/>
      <c r="D134" s="157"/>
      <c r="E134" s="157"/>
      <c r="F134" s="157"/>
      <c r="G134" s="157"/>
      <c r="H134" s="157"/>
      <c r="J134" t="str">
        <f t="shared" si="2"/>
        <v/>
      </c>
    </row>
    <row r="135" spans="1:10" x14ac:dyDescent="0.3">
      <c r="A135" s="1"/>
      <c r="B135" s="1"/>
      <c r="C135" s="157"/>
      <c r="D135" s="157"/>
      <c r="E135" s="157"/>
      <c r="F135" s="157"/>
      <c r="G135" s="157"/>
      <c r="H135" s="157"/>
      <c r="J135" t="str">
        <f t="shared" si="2"/>
        <v/>
      </c>
    </row>
    <row r="136" spans="1:10" x14ac:dyDescent="0.3">
      <c r="A136" s="1"/>
      <c r="B136" s="1"/>
      <c r="C136" s="157"/>
      <c r="D136" s="157"/>
      <c r="E136" s="157"/>
      <c r="F136" s="157"/>
      <c r="G136" s="157"/>
      <c r="H136" s="157"/>
      <c r="J136" t="str">
        <f t="shared" si="2"/>
        <v/>
      </c>
    </row>
    <row r="137" spans="1:10" x14ac:dyDescent="0.3">
      <c r="A137" s="1"/>
      <c r="B137" s="1"/>
      <c r="C137" s="157"/>
      <c r="D137" s="157"/>
      <c r="E137" s="157"/>
      <c r="F137" s="157"/>
      <c r="G137" s="157"/>
      <c r="H137" s="157"/>
      <c r="J137" t="str">
        <f t="shared" si="2"/>
        <v/>
      </c>
    </row>
    <row r="138" spans="1:10" x14ac:dyDescent="0.3">
      <c r="A138" s="1"/>
      <c r="B138" s="1"/>
      <c r="C138" s="157"/>
      <c r="D138" s="157"/>
      <c r="E138" s="157"/>
      <c r="F138" s="157"/>
      <c r="G138" s="157"/>
      <c r="H138" s="157"/>
      <c r="J138" t="str">
        <f t="shared" si="2"/>
        <v/>
      </c>
    </row>
    <row r="139" spans="1:10" x14ac:dyDescent="0.3">
      <c r="A139" s="1"/>
      <c r="B139" s="1"/>
      <c r="C139" s="157"/>
      <c r="D139" s="157"/>
      <c r="E139" s="157"/>
      <c r="F139" s="157"/>
      <c r="G139" s="157"/>
      <c r="H139" s="157"/>
      <c r="J139" t="str">
        <f t="shared" si="2"/>
        <v/>
      </c>
    </row>
    <row r="140" spans="1:10" x14ac:dyDescent="0.3">
      <c r="A140" s="1"/>
      <c r="B140" s="1"/>
      <c r="C140" s="157"/>
      <c r="D140" s="157"/>
      <c r="E140" s="157"/>
      <c r="F140" s="157"/>
      <c r="G140" s="157"/>
      <c r="H140" s="157"/>
      <c r="J140" t="str">
        <f t="shared" si="2"/>
        <v/>
      </c>
    </row>
    <row r="141" spans="1:10" x14ac:dyDescent="0.3">
      <c r="A141" s="1"/>
      <c r="B141" s="1"/>
      <c r="C141" s="157"/>
      <c r="D141" s="157"/>
      <c r="E141" s="157"/>
      <c r="F141" s="157"/>
      <c r="G141" s="157"/>
      <c r="H141" s="157"/>
      <c r="J141" t="str">
        <f t="shared" si="2"/>
        <v/>
      </c>
    </row>
    <row r="142" spans="1:10" x14ac:dyDescent="0.3">
      <c r="A142" s="1"/>
      <c r="B142" s="1"/>
      <c r="C142" s="157"/>
      <c r="D142" s="157"/>
      <c r="E142" s="157"/>
      <c r="F142" s="157"/>
      <c r="G142" s="157"/>
      <c r="H142" s="157"/>
      <c r="J142" t="str">
        <f t="shared" si="2"/>
        <v/>
      </c>
    </row>
    <row r="143" spans="1:10" x14ac:dyDescent="0.3">
      <c r="A143" s="1"/>
      <c r="B143" s="1"/>
      <c r="C143" s="157"/>
      <c r="D143" s="157"/>
      <c r="E143" s="157"/>
      <c r="F143" s="157"/>
      <c r="G143" s="157"/>
      <c r="H143" s="157"/>
      <c r="J143" t="str">
        <f t="shared" si="2"/>
        <v/>
      </c>
    </row>
    <row r="144" spans="1:10" x14ac:dyDescent="0.3">
      <c r="A144" s="1"/>
      <c r="B144" s="1"/>
      <c r="C144" s="157"/>
      <c r="D144" s="157"/>
      <c r="E144" s="157"/>
      <c r="F144" s="157"/>
      <c r="G144" s="157"/>
      <c r="H144" s="157"/>
      <c r="J144" t="str">
        <f t="shared" si="2"/>
        <v/>
      </c>
    </row>
    <row r="145" spans="1:10" x14ac:dyDescent="0.3">
      <c r="A145" s="1"/>
      <c r="B145" s="1"/>
      <c r="C145" s="157"/>
      <c r="D145" s="157"/>
      <c r="E145" s="157"/>
      <c r="F145" s="157"/>
      <c r="G145" s="157"/>
      <c r="H145" s="157"/>
      <c r="J145" t="str">
        <f t="shared" si="2"/>
        <v/>
      </c>
    </row>
    <row r="146" spans="1:10" x14ac:dyDescent="0.3">
      <c r="A146" s="1"/>
      <c r="B146" s="1"/>
      <c r="C146" s="157"/>
      <c r="D146" s="157"/>
      <c r="E146" s="157"/>
      <c r="F146" s="157"/>
      <c r="G146" s="157"/>
      <c r="H146" s="157"/>
      <c r="J146" t="str">
        <f t="shared" si="2"/>
        <v/>
      </c>
    </row>
    <row r="147" spans="1:10" x14ac:dyDescent="0.3">
      <c r="A147" s="1"/>
      <c r="B147" s="1"/>
      <c r="C147" s="157"/>
      <c r="D147" s="157"/>
      <c r="E147" s="157"/>
      <c r="F147" s="157"/>
      <c r="G147" s="157"/>
      <c r="H147" s="157"/>
      <c r="J147" t="str">
        <f t="shared" si="2"/>
        <v/>
      </c>
    </row>
    <row r="148" spans="1:10" x14ac:dyDescent="0.3">
      <c r="A148" s="1"/>
      <c r="B148" s="1"/>
      <c r="C148" s="157"/>
      <c r="D148" s="157"/>
      <c r="E148" s="157"/>
      <c r="F148" s="157"/>
      <c r="G148" s="157"/>
      <c r="H148" s="157"/>
      <c r="J148" t="str">
        <f t="shared" si="2"/>
        <v/>
      </c>
    </row>
    <row r="149" spans="1:10" x14ac:dyDescent="0.3">
      <c r="A149" s="1"/>
      <c r="B149" s="1"/>
      <c r="C149" s="157"/>
      <c r="D149" s="157"/>
      <c r="E149" s="157"/>
      <c r="F149" s="157"/>
      <c r="G149" s="157"/>
      <c r="H149" s="157"/>
      <c r="J149" t="str">
        <f t="shared" si="2"/>
        <v/>
      </c>
    </row>
    <row r="150" spans="1:10" x14ac:dyDescent="0.3">
      <c r="A150" s="1"/>
      <c r="B150" s="1"/>
      <c r="C150" s="157"/>
      <c r="D150" s="157"/>
      <c r="E150" s="157"/>
      <c r="F150" s="157"/>
      <c r="G150" s="157"/>
      <c r="H150" s="157"/>
      <c r="J150" t="str">
        <f t="shared" si="2"/>
        <v/>
      </c>
    </row>
    <row r="151" spans="1:10" x14ac:dyDescent="0.3">
      <c r="A151" s="1"/>
      <c r="B151" s="1"/>
      <c r="C151" s="157"/>
      <c r="D151" s="157"/>
      <c r="E151" s="157"/>
      <c r="F151" s="157"/>
      <c r="G151" s="157"/>
      <c r="H151" s="157"/>
      <c r="J151" t="str">
        <f t="shared" si="2"/>
        <v/>
      </c>
    </row>
    <row r="152" spans="1:10" x14ac:dyDescent="0.3">
      <c r="A152" s="1"/>
      <c r="B152" s="1"/>
      <c r="C152" s="157"/>
      <c r="D152" s="157"/>
      <c r="E152" s="157"/>
      <c r="F152" s="157"/>
      <c r="G152" s="157"/>
      <c r="H152" s="157"/>
      <c r="J152" t="str">
        <f t="shared" si="2"/>
        <v/>
      </c>
    </row>
    <row r="153" spans="1:10" x14ac:dyDescent="0.3">
      <c r="A153" s="1"/>
      <c r="B153" s="1"/>
      <c r="C153" s="157"/>
      <c r="D153" s="157"/>
      <c r="E153" s="157"/>
      <c r="F153" s="157"/>
      <c r="G153" s="157"/>
      <c r="H153" s="157"/>
      <c r="J153" t="str">
        <f t="shared" si="2"/>
        <v/>
      </c>
    </row>
    <row r="154" spans="1:10" x14ac:dyDescent="0.3">
      <c r="A154" s="1"/>
      <c r="B154" s="1"/>
      <c r="C154" s="157"/>
      <c r="D154" s="157"/>
      <c r="E154" s="157"/>
      <c r="F154" s="157"/>
      <c r="G154" s="157"/>
      <c r="H154" s="157"/>
      <c r="J154" t="str">
        <f t="shared" si="2"/>
        <v/>
      </c>
    </row>
    <row r="155" spans="1:10" x14ac:dyDescent="0.3">
      <c r="A155" s="1"/>
      <c r="B155" s="1"/>
      <c r="C155" s="157"/>
      <c r="D155" s="157"/>
      <c r="E155" s="157"/>
      <c r="F155" s="157"/>
      <c r="G155" s="157"/>
      <c r="H155" s="157"/>
      <c r="J155" t="str">
        <f t="shared" si="2"/>
        <v/>
      </c>
    </row>
    <row r="156" spans="1:10" x14ac:dyDescent="0.3">
      <c r="A156" s="1"/>
      <c r="B156" s="1"/>
      <c r="C156" s="157"/>
      <c r="D156" s="157"/>
      <c r="E156" s="157"/>
      <c r="F156" s="157"/>
      <c r="G156" s="157"/>
      <c r="H156" s="157"/>
      <c r="J156" t="str">
        <f t="shared" si="2"/>
        <v/>
      </c>
    </row>
    <row r="157" spans="1:10" x14ac:dyDescent="0.3">
      <c r="A157" s="1"/>
      <c r="B157" s="1"/>
      <c r="C157" s="157"/>
      <c r="D157" s="157"/>
      <c r="E157" s="157"/>
      <c r="F157" s="157"/>
      <c r="G157" s="157"/>
      <c r="H157" s="157"/>
      <c r="J157" t="str">
        <f t="shared" si="2"/>
        <v/>
      </c>
    </row>
    <row r="158" spans="1:10" x14ac:dyDescent="0.3">
      <c r="A158" s="1"/>
      <c r="B158" s="1"/>
      <c r="C158" s="157"/>
      <c r="D158" s="157"/>
      <c r="E158" s="157"/>
      <c r="F158" s="157"/>
      <c r="G158" s="157"/>
      <c r="H158" s="157"/>
      <c r="J158" t="str">
        <f t="shared" si="2"/>
        <v/>
      </c>
    </row>
    <row r="159" spans="1:10" x14ac:dyDescent="0.3">
      <c r="A159" s="1"/>
      <c r="B159" s="1"/>
      <c r="C159" s="157"/>
      <c r="D159" s="157"/>
      <c r="E159" s="157"/>
      <c r="F159" s="157"/>
      <c r="G159" s="157"/>
      <c r="H159" s="157"/>
      <c r="J159" t="str">
        <f t="shared" si="2"/>
        <v/>
      </c>
    </row>
    <row r="160" spans="1:10" x14ac:dyDescent="0.3">
      <c r="A160" s="1"/>
      <c r="B160" s="1"/>
      <c r="C160" s="157"/>
      <c r="D160" s="157"/>
      <c r="E160" s="157"/>
      <c r="F160" s="157"/>
      <c r="G160" s="157"/>
      <c r="H160" s="157"/>
      <c r="J160" t="str">
        <f t="shared" si="2"/>
        <v/>
      </c>
    </row>
    <row r="161" spans="1:10" x14ac:dyDescent="0.3">
      <c r="A161" s="1"/>
      <c r="B161" s="1"/>
      <c r="C161" s="157"/>
      <c r="D161" s="157"/>
      <c r="E161" s="157"/>
      <c r="F161" s="157"/>
      <c r="G161" s="157"/>
      <c r="H161" s="157"/>
      <c r="J161" t="str">
        <f t="shared" si="2"/>
        <v/>
      </c>
    </row>
    <row r="162" spans="1:10" x14ac:dyDescent="0.3">
      <c r="A162" s="1"/>
      <c r="B162" s="1"/>
      <c r="C162" s="157"/>
      <c r="D162" s="157"/>
      <c r="E162" s="157"/>
      <c r="F162" s="157"/>
      <c r="G162" s="157"/>
      <c r="H162" s="157"/>
      <c r="J162" t="str">
        <f t="shared" si="2"/>
        <v/>
      </c>
    </row>
    <row r="163" spans="1:10" x14ac:dyDescent="0.3">
      <c r="A163" s="1"/>
      <c r="B163" s="1"/>
      <c r="C163" s="157"/>
      <c r="D163" s="157"/>
      <c r="E163" s="157"/>
      <c r="F163" s="157"/>
      <c r="G163" s="157"/>
      <c r="H163" s="157"/>
      <c r="J163" t="str">
        <f t="shared" si="2"/>
        <v/>
      </c>
    </row>
    <row r="164" spans="1:10" x14ac:dyDescent="0.3">
      <c r="A164" s="1"/>
      <c r="B164" s="1"/>
      <c r="C164" s="157"/>
      <c r="D164" s="157"/>
      <c r="E164" s="157"/>
      <c r="F164" s="157"/>
      <c r="G164" s="157"/>
      <c r="H164" s="157"/>
      <c r="J164" t="str">
        <f t="shared" si="2"/>
        <v/>
      </c>
    </row>
    <row r="165" spans="1:10" x14ac:dyDescent="0.3">
      <c r="A165" s="1"/>
      <c r="B165" s="1"/>
      <c r="C165" s="157"/>
      <c r="D165" s="157"/>
      <c r="E165" s="157"/>
      <c r="F165" s="157"/>
      <c r="G165" s="157"/>
      <c r="H165" s="157"/>
      <c r="J165" t="str">
        <f t="shared" si="2"/>
        <v/>
      </c>
    </row>
    <row r="166" spans="1:10" x14ac:dyDescent="0.3">
      <c r="A166" s="1"/>
      <c r="B166" s="1"/>
      <c r="C166" s="157"/>
      <c r="D166" s="157"/>
      <c r="E166" s="157"/>
      <c r="F166" s="157"/>
      <c r="G166" s="157"/>
      <c r="H166" s="157"/>
      <c r="J166" t="str">
        <f t="shared" si="2"/>
        <v/>
      </c>
    </row>
    <row r="167" spans="1:10" x14ac:dyDescent="0.3">
      <c r="A167" s="1"/>
      <c r="B167" s="1"/>
      <c r="C167" s="157"/>
      <c r="D167" s="157"/>
      <c r="E167" s="157"/>
      <c r="F167" s="157"/>
      <c r="G167" s="157"/>
      <c r="H167" s="157"/>
      <c r="J167" t="str">
        <f t="shared" si="2"/>
        <v/>
      </c>
    </row>
    <row r="168" spans="1:10" x14ac:dyDescent="0.3">
      <c r="A168" s="1"/>
      <c r="B168" s="1"/>
      <c r="C168" s="157"/>
      <c r="D168" s="157"/>
      <c r="E168" s="157"/>
      <c r="F168" s="157"/>
      <c r="G168" s="157"/>
      <c r="H168" s="157"/>
      <c r="J168" t="str">
        <f t="shared" si="2"/>
        <v/>
      </c>
    </row>
    <row r="169" spans="1:10" x14ac:dyDescent="0.3">
      <c r="A169" s="1"/>
      <c r="B169" s="1"/>
      <c r="C169" s="157"/>
      <c r="D169" s="157"/>
      <c r="E169" s="157"/>
      <c r="F169" s="157"/>
      <c r="G169" s="157"/>
      <c r="H169" s="157"/>
      <c r="J169" t="str">
        <f t="shared" si="2"/>
        <v/>
      </c>
    </row>
    <row r="170" spans="1:10" x14ac:dyDescent="0.3">
      <c r="A170" s="1"/>
      <c r="B170" s="1"/>
      <c r="C170" s="157"/>
      <c r="D170" s="157"/>
      <c r="E170" s="157"/>
      <c r="F170" s="157"/>
      <c r="G170" s="157"/>
      <c r="H170" s="157"/>
      <c r="J170" t="str">
        <f t="shared" si="2"/>
        <v/>
      </c>
    </row>
    <row r="171" spans="1:10" x14ac:dyDescent="0.3">
      <c r="A171" s="1"/>
      <c r="B171" s="1"/>
      <c r="C171" s="157"/>
      <c r="D171" s="157"/>
      <c r="E171" s="157"/>
      <c r="F171" s="157"/>
      <c r="G171" s="157"/>
      <c r="H171" s="157"/>
      <c r="J171" t="str">
        <f t="shared" si="2"/>
        <v/>
      </c>
    </row>
    <row r="172" spans="1:10" x14ac:dyDescent="0.3">
      <c r="A172" s="1"/>
      <c r="B172" s="1"/>
      <c r="C172" s="157"/>
      <c r="D172" s="157"/>
      <c r="E172" s="157"/>
      <c r="F172" s="157"/>
      <c r="G172" s="157"/>
      <c r="H172" s="157"/>
      <c r="J172" t="str">
        <f t="shared" si="2"/>
        <v/>
      </c>
    </row>
    <row r="173" spans="1:10" x14ac:dyDescent="0.3">
      <c r="A173" s="1"/>
      <c r="B173" s="1"/>
      <c r="C173" s="157"/>
      <c r="D173" s="157"/>
      <c r="E173" s="157"/>
      <c r="F173" s="157"/>
      <c r="G173" s="157"/>
      <c r="H173" s="157"/>
      <c r="J173" t="str">
        <f t="shared" si="2"/>
        <v/>
      </c>
    </row>
    <row r="174" spans="1:10" x14ac:dyDescent="0.3">
      <c r="A174" s="1"/>
      <c r="B174" s="1"/>
      <c r="C174" s="157"/>
      <c r="D174" s="157"/>
      <c r="E174" s="157"/>
      <c r="F174" s="157"/>
      <c r="G174" s="157"/>
      <c r="H174" s="157"/>
      <c r="J174" t="str">
        <f t="shared" si="2"/>
        <v/>
      </c>
    </row>
    <row r="175" spans="1:10" x14ac:dyDescent="0.3">
      <c r="A175" s="1"/>
      <c r="B175" s="1"/>
      <c r="C175" s="157"/>
      <c r="D175" s="157"/>
      <c r="E175" s="157"/>
      <c r="F175" s="157"/>
      <c r="G175" s="157"/>
      <c r="H175" s="157"/>
      <c r="J175" t="str">
        <f t="shared" si="2"/>
        <v/>
      </c>
    </row>
    <row r="176" spans="1:10" x14ac:dyDescent="0.3">
      <c r="A176" s="1"/>
      <c r="B176" s="1"/>
      <c r="C176" s="157"/>
      <c r="D176" s="157"/>
      <c r="E176" s="157"/>
      <c r="F176" s="157"/>
      <c r="G176" s="157"/>
      <c r="H176" s="157"/>
      <c r="J176" t="str">
        <f t="shared" si="2"/>
        <v/>
      </c>
    </row>
    <row r="177" spans="1:10" x14ac:dyDescent="0.3">
      <c r="A177" s="1"/>
      <c r="B177" s="1"/>
      <c r="C177" s="157"/>
      <c r="D177" s="157"/>
      <c r="E177" s="157"/>
      <c r="F177" s="157"/>
      <c r="G177" s="157"/>
      <c r="H177" s="157"/>
      <c r="J177" t="str">
        <f t="shared" si="2"/>
        <v/>
      </c>
    </row>
    <row r="178" spans="1:10" x14ac:dyDescent="0.3">
      <c r="A178" s="1"/>
      <c r="B178" s="1"/>
      <c r="C178" s="157"/>
      <c r="D178" s="157"/>
      <c r="E178" s="157"/>
      <c r="F178" s="157"/>
      <c r="G178" s="157"/>
      <c r="H178" s="157"/>
      <c r="J178" t="str">
        <f t="shared" si="2"/>
        <v/>
      </c>
    </row>
    <row r="179" spans="1:10" x14ac:dyDescent="0.3">
      <c r="A179" s="1"/>
      <c r="B179" s="1"/>
      <c r="C179" s="157"/>
      <c r="D179" s="157"/>
      <c r="E179" s="157"/>
      <c r="F179" s="157"/>
      <c r="G179" s="157"/>
      <c r="H179" s="157"/>
      <c r="J179" t="str">
        <f t="shared" si="2"/>
        <v/>
      </c>
    </row>
    <row r="180" spans="1:10" x14ac:dyDescent="0.3">
      <c r="A180" s="1"/>
      <c r="B180" s="1"/>
      <c r="C180" s="157"/>
      <c r="D180" s="157"/>
      <c r="E180" s="157"/>
      <c r="F180" s="157"/>
      <c r="G180" s="157"/>
      <c r="H180" s="157"/>
      <c r="J180" t="str">
        <f t="shared" si="2"/>
        <v/>
      </c>
    </row>
    <row r="181" spans="1:10" x14ac:dyDescent="0.3">
      <c r="A181" s="1"/>
      <c r="B181" s="1"/>
      <c r="C181" s="157"/>
      <c r="D181" s="157"/>
      <c r="E181" s="157"/>
      <c r="F181" s="157"/>
      <c r="G181" s="157"/>
      <c r="H181" s="157"/>
      <c r="J181" t="str">
        <f t="shared" si="2"/>
        <v/>
      </c>
    </row>
    <row r="182" spans="1:10" x14ac:dyDescent="0.3">
      <c r="A182" s="1"/>
      <c r="B182" s="1"/>
      <c r="C182" s="157"/>
      <c r="D182" s="157"/>
      <c r="E182" s="157"/>
      <c r="F182" s="157"/>
      <c r="G182" s="157"/>
      <c r="H182" s="157"/>
      <c r="J182" t="str">
        <f t="shared" si="2"/>
        <v/>
      </c>
    </row>
    <row r="183" spans="1:10" x14ac:dyDescent="0.3">
      <c r="A183" s="1"/>
      <c r="B183" s="1"/>
      <c r="C183" s="157"/>
      <c r="D183" s="157"/>
      <c r="E183" s="157"/>
      <c r="F183" s="157"/>
      <c r="G183" s="157"/>
      <c r="H183" s="157"/>
      <c r="J183" t="str">
        <f t="shared" si="2"/>
        <v/>
      </c>
    </row>
    <row r="184" spans="1:10" x14ac:dyDescent="0.3">
      <c r="A184" s="1"/>
      <c r="B184" s="1"/>
      <c r="C184" s="157"/>
      <c r="D184" s="157"/>
      <c r="E184" s="157"/>
      <c r="F184" s="157"/>
      <c r="G184" s="157"/>
      <c r="H184" s="157"/>
      <c r="J184" t="str">
        <f t="shared" si="2"/>
        <v/>
      </c>
    </row>
    <row r="185" spans="1:10" x14ac:dyDescent="0.3">
      <c r="A185" s="1"/>
      <c r="B185" s="1"/>
      <c r="C185" s="157"/>
      <c r="D185" s="157"/>
      <c r="E185" s="157"/>
      <c r="F185" s="157"/>
      <c r="G185" s="157"/>
      <c r="H185" s="157"/>
      <c r="J185" t="str">
        <f t="shared" si="2"/>
        <v/>
      </c>
    </row>
    <row r="186" spans="1:10" x14ac:dyDescent="0.3">
      <c r="A186" s="1"/>
      <c r="B186" s="1"/>
      <c r="C186" s="157"/>
      <c r="D186" s="157"/>
      <c r="E186" s="157"/>
      <c r="F186" s="157"/>
      <c r="G186" s="157"/>
      <c r="H186" s="157"/>
      <c r="J186" t="str">
        <f t="shared" si="2"/>
        <v/>
      </c>
    </row>
    <row r="187" spans="1:10" x14ac:dyDescent="0.3">
      <c r="A187" s="1"/>
      <c r="B187" s="1"/>
      <c r="C187" s="157"/>
      <c r="D187" s="157"/>
      <c r="E187" s="157"/>
      <c r="F187" s="157"/>
      <c r="G187" s="157"/>
      <c r="H187" s="157"/>
      <c r="J187" t="str">
        <f t="shared" si="2"/>
        <v/>
      </c>
    </row>
    <row r="188" spans="1:10" x14ac:dyDescent="0.3">
      <c r="A188" s="1"/>
      <c r="B188" s="1"/>
      <c r="C188" s="157"/>
      <c r="D188" s="157"/>
      <c r="E188" s="157"/>
      <c r="F188" s="157"/>
      <c r="G188" s="157"/>
      <c r="H188" s="157"/>
      <c r="J188" t="str">
        <f t="shared" si="2"/>
        <v/>
      </c>
    </row>
    <row r="189" spans="1:10" x14ac:dyDescent="0.3">
      <c r="A189" s="1"/>
      <c r="B189" s="1"/>
      <c r="C189" s="157"/>
      <c r="D189" s="157"/>
      <c r="E189" s="157"/>
      <c r="F189" s="157"/>
      <c r="G189" s="157"/>
      <c r="H189" s="157"/>
      <c r="J189" t="str">
        <f t="shared" si="2"/>
        <v/>
      </c>
    </row>
    <row r="190" spans="1:10" x14ac:dyDescent="0.3">
      <c r="A190" s="1"/>
      <c r="B190" s="1"/>
      <c r="C190" s="157"/>
      <c r="D190" s="157"/>
      <c r="E190" s="157"/>
      <c r="F190" s="157"/>
      <c r="G190" s="157"/>
      <c r="H190" s="157"/>
      <c r="J190" t="str">
        <f t="shared" si="2"/>
        <v/>
      </c>
    </row>
    <row r="191" spans="1:10" x14ac:dyDescent="0.3">
      <c r="A191" s="1"/>
      <c r="B191" s="1"/>
      <c r="C191" s="157"/>
      <c r="D191" s="157"/>
      <c r="E191" s="157"/>
      <c r="F191" s="157"/>
      <c r="G191" s="157"/>
      <c r="H191" s="157"/>
      <c r="J191" t="str">
        <f t="shared" si="2"/>
        <v/>
      </c>
    </row>
    <row r="192" spans="1:10" x14ac:dyDescent="0.3">
      <c r="A192" s="1"/>
      <c r="B192" s="1"/>
      <c r="C192" s="157"/>
      <c r="D192" s="157"/>
      <c r="E192" s="157"/>
      <c r="F192" s="157"/>
      <c r="G192" s="157"/>
      <c r="H192" s="157"/>
      <c r="J192" t="str">
        <f t="shared" si="2"/>
        <v/>
      </c>
    </row>
    <row r="193" spans="1:10" x14ac:dyDescent="0.3">
      <c r="A193" s="1"/>
      <c r="B193" s="1"/>
      <c r="C193" s="157"/>
      <c r="D193" s="157"/>
      <c r="E193" s="157"/>
      <c r="F193" s="157"/>
      <c r="G193" s="157"/>
      <c r="H193" s="157"/>
      <c r="J193" t="str">
        <f t="shared" si="2"/>
        <v/>
      </c>
    </row>
    <row r="194" spans="1:10" x14ac:dyDescent="0.3">
      <c r="A194" s="1"/>
      <c r="B194" s="1"/>
      <c r="C194" s="157"/>
      <c r="D194" s="157"/>
      <c r="E194" s="157"/>
      <c r="F194" s="157"/>
      <c r="G194" s="157"/>
      <c r="H194" s="157"/>
      <c r="J194" t="str">
        <f t="shared" ref="J194:J257" si="3">IF(B194 &lt;&gt; "",(IF(C194&lt;&gt;"",CONCATENATE(A194, " ", B194,"  - ",C194,IF(D194&lt;&gt;"","/",""),D194),CONCATENATE(A194, " ",B194,IF(D194&lt;&gt;"","  - ",""),D194))),"")</f>
        <v/>
      </c>
    </row>
    <row r="195" spans="1:10" x14ac:dyDescent="0.3">
      <c r="A195" s="1"/>
      <c r="B195" s="1"/>
      <c r="C195" s="157"/>
      <c r="D195" s="157"/>
      <c r="E195" s="157"/>
      <c r="F195" s="157"/>
      <c r="G195" s="157"/>
      <c r="H195" s="157"/>
      <c r="J195" t="str">
        <f t="shared" si="3"/>
        <v/>
      </c>
    </row>
    <row r="196" spans="1:10" x14ac:dyDescent="0.3">
      <c r="A196" s="1"/>
      <c r="B196" s="1"/>
      <c r="C196" s="157"/>
      <c r="D196" s="157"/>
      <c r="E196" s="157"/>
      <c r="F196" s="157"/>
      <c r="G196" s="157"/>
      <c r="H196" s="157"/>
      <c r="J196" t="str">
        <f t="shared" si="3"/>
        <v/>
      </c>
    </row>
    <row r="197" spans="1:10" x14ac:dyDescent="0.3">
      <c r="A197" s="1"/>
      <c r="B197" s="1"/>
      <c r="C197" s="157"/>
      <c r="D197" s="157"/>
      <c r="E197" s="157"/>
      <c r="F197" s="157"/>
      <c r="G197" s="157"/>
      <c r="H197" s="157"/>
      <c r="J197" t="str">
        <f t="shared" si="3"/>
        <v/>
      </c>
    </row>
    <row r="198" spans="1:10" x14ac:dyDescent="0.3">
      <c r="A198" s="1"/>
      <c r="B198" s="1"/>
      <c r="C198" s="157"/>
      <c r="D198" s="157"/>
      <c r="E198" s="157"/>
      <c r="F198" s="157"/>
      <c r="G198" s="157"/>
      <c r="H198" s="157"/>
      <c r="J198" t="str">
        <f t="shared" si="3"/>
        <v/>
      </c>
    </row>
    <row r="199" spans="1:10" x14ac:dyDescent="0.3">
      <c r="A199" s="1"/>
      <c r="B199" s="1"/>
      <c r="C199" s="157"/>
      <c r="D199" s="157"/>
      <c r="E199" s="157"/>
      <c r="F199" s="157"/>
      <c r="G199" s="157"/>
      <c r="H199" s="157"/>
      <c r="J199" t="str">
        <f t="shared" si="3"/>
        <v/>
      </c>
    </row>
    <row r="200" spans="1:10" x14ac:dyDescent="0.3">
      <c r="A200" s="1"/>
      <c r="B200" s="1"/>
      <c r="C200" s="157"/>
      <c r="D200" s="157"/>
      <c r="E200" s="157"/>
      <c r="F200" s="157"/>
      <c r="G200" s="157"/>
      <c r="H200" s="157"/>
      <c r="J200" t="str">
        <f t="shared" si="3"/>
        <v/>
      </c>
    </row>
    <row r="201" spans="1:10" x14ac:dyDescent="0.3">
      <c r="A201" s="1"/>
      <c r="B201" s="1"/>
      <c r="C201" s="157"/>
      <c r="D201" s="157"/>
      <c r="E201" s="157"/>
      <c r="F201" s="157"/>
      <c r="G201" s="157"/>
      <c r="H201" s="157"/>
      <c r="J201" t="str">
        <f t="shared" si="3"/>
        <v/>
      </c>
    </row>
    <row r="202" spans="1:10" x14ac:dyDescent="0.3">
      <c r="A202" s="1"/>
      <c r="B202" s="1"/>
      <c r="C202" s="157"/>
      <c r="D202" s="157"/>
      <c r="E202" s="157"/>
      <c r="F202" s="157"/>
      <c r="G202" s="157"/>
      <c r="H202" s="157"/>
      <c r="J202" t="str">
        <f t="shared" si="3"/>
        <v/>
      </c>
    </row>
    <row r="203" spans="1:10" x14ac:dyDescent="0.3">
      <c r="A203" s="1"/>
      <c r="B203" s="1"/>
      <c r="C203" s="157"/>
      <c r="D203" s="157"/>
      <c r="E203" s="157"/>
      <c r="F203" s="157"/>
      <c r="G203" s="157"/>
      <c r="H203" s="157"/>
      <c r="J203" t="str">
        <f t="shared" si="3"/>
        <v/>
      </c>
    </row>
    <row r="204" spans="1:10" x14ac:dyDescent="0.3">
      <c r="A204" s="1"/>
      <c r="B204" s="1"/>
      <c r="C204" s="157"/>
      <c r="D204" s="157"/>
      <c r="E204" s="157"/>
      <c r="F204" s="157"/>
      <c r="G204" s="157"/>
      <c r="H204" s="157"/>
      <c r="J204" t="str">
        <f t="shared" si="3"/>
        <v/>
      </c>
    </row>
    <row r="205" spans="1:10" x14ac:dyDescent="0.3">
      <c r="A205" s="1"/>
      <c r="B205" s="1"/>
      <c r="C205" s="157"/>
      <c r="D205" s="157"/>
      <c r="E205" s="157"/>
      <c r="F205" s="157"/>
      <c r="G205" s="157"/>
      <c r="H205" s="157"/>
      <c r="J205" t="str">
        <f t="shared" si="3"/>
        <v/>
      </c>
    </row>
    <row r="206" spans="1:10" x14ac:dyDescent="0.3">
      <c r="A206" s="1"/>
      <c r="B206" s="1"/>
      <c r="C206" s="157"/>
      <c r="D206" s="157"/>
      <c r="E206" s="157"/>
      <c r="F206" s="157"/>
      <c r="G206" s="157"/>
      <c r="H206" s="157"/>
      <c r="J206" t="str">
        <f t="shared" si="3"/>
        <v/>
      </c>
    </row>
    <row r="207" spans="1:10" x14ac:dyDescent="0.3">
      <c r="A207" s="1"/>
      <c r="B207" s="1"/>
      <c r="C207" s="157"/>
      <c r="D207" s="157"/>
      <c r="E207" s="157"/>
      <c r="F207" s="157"/>
      <c r="G207" s="157"/>
      <c r="H207" s="157"/>
      <c r="J207" t="str">
        <f t="shared" si="3"/>
        <v/>
      </c>
    </row>
    <row r="208" spans="1:10" x14ac:dyDescent="0.3">
      <c r="A208" s="1"/>
      <c r="B208" s="1"/>
      <c r="C208" s="157"/>
      <c r="D208" s="157"/>
      <c r="E208" s="157"/>
      <c r="F208" s="157"/>
      <c r="G208" s="157"/>
      <c r="H208" s="157"/>
      <c r="J208" t="str">
        <f t="shared" si="3"/>
        <v/>
      </c>
    </row>
    <row r="209" spans="1:10" x14ac:dyDescent="0.3">
      <c r="A209" s="1"/>
      <c r="B209" s="1"/>
      <c r="C209" s="157"/>
      <c r="D209" s="157"/>
      <c r="E209" s="157"/>
      <c r="F209" s="157"/>
      <c r="G209" s="157"/>
      <c r="H209" s="157"/>
      <c r="J209" t="str">
        <f t="shared" si="3"/>
        <v/>
      </c>
    </row>
    <row r="210" spans="1:10" x14ac:dyDescent="0.3">
      <c r="A210" s="1"/>
      <c r="B210" s="1"/>
      <c r="C210" s="157"/>
      <c r="D210" s="157"/>
      <c r="E210" s="157"/>
      <c r="F210" s="157"/>
      <c r="G210" s="157"/>
      <c r="H210" s="157"/>
      <c r="J210" t="str">
        <f t="shared" si="3"/>
        <v/>
      </c>
    </row>
    <row r="211" spans="1:10" x14ac:dyDescent="0.3">
      <c r="A211" s="1"/>
      <c r="B211" s="1"/>
      <c r="C211" s="157"/>
      <c r="D211" s="157"/>
      <c r="E211" s="157"/>
      <c r="F211" s="157"/>
      <c r="G211" s="157"/>
      <c r="H211" s="157"/>
      <c r="J211" t="str">
        <f t="shared" si="3"/>
        <v/>
      </c>
    </row>
    <row r="212" spans="1:10" x14ac:dyDescent="0.3">
      <c r="A212" s="1"/>
      <c r="B212" s="1"/>
      <c r="C212" s="157"/>
      <c r="D212" s="157"/>
      <c r="E212" s="157"/>
      <c r="F212" s="157"/>
      <c r="G212" s="157"/>
      <c r="H212" s="157"/>
      <c r="J212" t="str">
        <f t="shared" si="3"/>
        <v/>
      </c>
    </row>
    <row r="213" spans="1:10" x14ac:dyDescent="0.3">
      <c r="A213" s="1"/>
      <c r="B213" s="1"/>
      <c r="C213" s="157"/>
      <c r="D213" s="157"/>
      <c r="E213" s="157"/>
      <c r="F213" s="157"/>
      <c r="G213" s="157"/>
      <c r="H213" s="157"/>
      <c r="J213" t="str">
        <f t="shared" si="3"/>
        <v/>
      </c>
    </row>
    <row r="214" spans="1:10" x14ac:dyDescent="0.3">
      <c r="A214" s="1"/>
      <c r="B214" s="1"/>
      <c r="C214" s="157"/>
      <c r="D214" s="157"/>
      <c r="E214" s="157"/>
      <c r="F214" s="157"/>
      <c r="G214" s="157"/>
      <c r="H214" s="157"/>
      <c r="J214" t="str">
        <f t="shared" si="3"/>
        <v/>
      </c>
    </row>
    <row r="215" spans="1:10" x14ac:dyDescent="0.3">
      <c r="A215" s="1"/>
      <c r="B215" s="1"/>
      <c r="C215" s="157"/>
      <c r="D215" s="157"/>
      <c r="E215" s="157"/>
      <c r="F215" s="157"/>
      <c r="G215" s="157"/>
      <c r="H215" s="157"/>
      <c r="J215" t="str">
        <f t="shared" si="3"/>
        <v/>
      </c>
    </row>
    <row r="216" spans="1:10" x14ac:dyDescent="0.3">
      <c r="A216" s="1"/>
      <c r="B216" s="1"/>
      <c r="C216" s="157"/>
      <c r="D216" s="157"/>
      <c r="E216" s="157"/>
      <c r="F216" s="157"/>
      <c r="G216" s="157"/>
      <c r="H216" s="157"/>
      <c r="J216" t="str">
        <f t="shared" si="3"/>
        <v/>
      </c>
    </row>
    <row r="217" spans="1:10" x14ac:dyDescent="0.3">
      <c r="A217" s="1"/>
      <c r="B217" s="1"/>
      <c r="C217" s="157"/>
      <c r="D217" s="157"/>
      <c r="E217" s="157"/>
      <c r="F217" s="157"/>
      <c r="G217" s="157"/>
      <c r="H217" s="157"/>
      <c r="J217" t="str">
        <f t="shared" si="3"/>
        <v/>
      </c>
    </row>
    <row r="218" spans="1:10" x14ac:dyDescent="0.3">
      <c r="A218" s="1"/>
      <c r="B218" s="1"/>
      <c r="C218" s="157"/>
      <c r="D218" s="157"/>
      <c r="E218" s="157"/>
      <c r="F218" s="157"/>
      <c r="G218" s="157"/>
      <c r="H218" s="157"/>
      <c r="J218" t="str">
        <f t="shared" si="3"/>
        <v/>
      </c>
    </row>
    <row r="219" spans="1:10" x14ac:dyDescent="0.3">
      <c r="A219" s="1"/>
      <c r="B219" s="1"/>
      <c r="C219" s="157"/>
      <c r="D219" s="157"/>
      <c r="E219" s="157"/>
      <c r="F219" s="157"/>
      <c r="G219" s="157"/>
      <c r="H219" s="157"/>
      <c r="J219" t="str">
        <f t="shared" si="3"/>
        <v/>
      </c>
    </row>
    <row r="220" spans="1:10" x14ac:dyDescent="0.3">
      <c r="A220" s="1"/>
      <c r="B220" s="1"/>
      <c r="C220" s="157"/>
      <c r="D220" s="157"/>
      <c r="E220" s="157"/>
      <c r="F220" s="157"/>
      <c r="G220" s="157"/>
      <c r="H220" s="157"/>
      <c r="J220" t="str">
        <f t="shared" si="3"/>
        <v/>
      </c>
    </row>
    <row r="221" spans="1:10" x14ac:dyDescent="0.3">
      <c r="A221" s="1"/>
      <c r="B221" s="1"/>
      <c r="C221" s="157"/>
      <c r="D221" s="157"/>
      <c r="E221" s="157"/>
      <c r="F221" s="157"/>
      <c r="G221" s="157"/>
      <c r="H221" s="157"/>
      <c r="J221" t="str">
        <f t="shared" si="3"/>
        <v/>
      </c>
    </row>
    <row r="222" spans="1:10" x14ac:dyDescent="0.3">
      <c r="A222" s="1"/>
      <c r="B222" s="1"/>
      <c r="C222" s="157"/>
      <c r="D222" s="157"/>
      <c r="E222" s="157"/>
      <c r="F222" s="157"/>
      <c r="G222" s="157"/>
      <c r="H222" s="157"/>
      <c r="J222" t="str">
        <f t="shared" si="3"/>
        <v/>
      </c>
    </row>
    <row r="223" spans="1:10" x14ac:dyDescent="0.3">
      <c r="A223" s="1"/>
      <c r="B223" s="1"/>
      <c r="C223" s="157"/>
      <c r="D223" s="157"/>
      <c r="E223" s="157"/>
      <c r="F223" s="157"/>
      <c r="G223" s="157"/>
      <c r="H223" s="157"/>
      <c r="J223" t="str">
        <f t="shared" si="3"/>
        <v/>
      </c>
    </row>
    <row r="224" spans="1:10" x14ac:dyDescent="0.3">
      <c r="A224" s="1"/>
      <c r="B224" s="1"/>
      <c r="C224" s="157"/>
      <c r="D224" s="157"/>
      <c r="E224" s="157"/>
      <c r="F224" s="157"/>
      <c r="G224" s="157"/>
      <c r="H224" s="157"/>
      <c r="J224" t="str">
        <f t="shared" si="3"/>
        <v/>
      </c>
    </row>
    <row r="225" spans="1:10" x14ac:dyDescent="0.3">
      <c r="A225" s="1"/>
      <c r="B225" s="1"/>
      <c r="C225" s="157"/>
      <c r="D225" s="157"/>
      <c r="E225" s="157"/>
      <c r="F225" s="157"/>
      <c r="G225" s="157"/>
      <c r="H225" s="157"/>
      <c r="J225" t="str">
        <f t="shared" si="3"/>
        <v/>
      </c>
    </row>
    <row r="226" spans="1:10" x14ac:dyDescent="0.3">
      <c r="A226" s="1"/>
      <c r="B226" s="1"/>
      <c r="C226" s="157"/>
      <c r="D226" s="157"/>
      <c r="E226" s="157"/>
      <c r="F226" s="157"/>
      <c r="G226" s="157"/>
      <c r="H226" s="157"/>
      <c r="J226" t="str">
        <f t="shared" si="3"/>
        <v/>
      </c>
    </row>
    <row r="227" spans="1:10" x14ac:dyDescent="0.3">
      <c r="A227" s="1"/>
      <c r="B227" s="1"/>
      <c r="C227" s="157"/>
      <c r="D227" s="157"/>
      <c r="E227" s="157"/>
      <c r="F227" s="157"/>
      <c r="G227" s="157"/>
      <c r="H227" s="157"/>
      <c r="J227" t="str">
        <f t="shared" si="3"/>
        <v/>
      </c>
    </row>
    <row r="228" spans="1:10" x14ac:dyDescent="0.3">
      <c r="A228" s="1"/>
      <c r="B228" s="1"/>
      <c r="C228" s="157"/>
      <c r="D228" s="157"/>
      <c r="E228" s="157"/>
      <c r="F228" s="157"/>
      <c r="G228" s="157"/>
      <c r="H228" s="157"/>
      <c r="J228" t="str">
        <f t="shared" si="3"/>
        <v/>
      </c>
    </row>
    <row r="229" spans="1:10" x14ac:dyDescent="0.3">
      <c r="A229" s="1"/>
      <c r="B229" s="1"/>
      <c r="C229" s="157"/>
      <c r="D229" s="157"/>
      <c r="E229" s="157"/>
      <c r="F229" s="157"/>
      <c r="G229" s="157"/>
      <c r="H229" s="157"/>
      <c r="J229" t="str">
        <f t="shared" si="3"/>
        <v/>
      </c>
    </row>
    <row r="230" spans="1:10" x14ac:dyDescent="0.3">
      <c r="A230" s="1"/>
      <c r="B230" s="1"/>
      <c r="C230" s="157"/>
      <c r="D230" s="157"/>
      <c r="E230" s="157"/>
      <c r="F230" s="157"/>
      <c r="G230" s="157"/>
      <c r="H230" s="157"/>
      <c r="J230" t="str">
        <f t="shared" si="3"/>
        <v/>
      </c>
    </row>
    <row r="231" spans="1:10" x14ac:dyDescent="0.3">
      <c r="A231" s="1"/>
      <c r="B231" s="1"/>
      <c r="C231" s="157"/>
      <c r="D231" s="157"/>
      <c r="E231" s="157"/>
      <c r="F231" s="157"/>
      <c r="G231" s="157"/>
      <c r="H231" s="157"/>
      <c r="J231" t="str">
        <f t="shared" si="3"/>
        <v/>
      </c>
    </row>
    <row r="232" spans="1:10" x14ac:dyDescent="0.3">
      <c r="A232" s="1"/>
      <c r="B232" s="1"/>
      <c r="C232" s="157"/>
      <c r="D232" s="157"/>
      <c r="E232" s="157"/>
      <c r="F232" s="157"/>
      <c r="G232" s="157"/>
      <c r="H232" s="157"/>
      <c r="J232" t="str">
        <f t="shared" si="3"/>
        <v/>
      </c>
    </row>
    <row r="233" spans="1:10" x14ac:dyDescent="0.3">
      <c r="A233" s="1"/>
      <c r="B233" s="1"/>
      <c r="C233" s="157"/>
      <c r="D233" s="157"/>
      <c r="E233" s="157"/>
      <c r="F233" s="157"/>
      <c r="G233" s="157"/>
      <c r="H233" s="157"/>
      <c r="J233" t="str">
        <f t="shared" si="3"/>
        <v/>
      </c>
    </row>
    <row r="234" spans="1:10" x14ac:dyDescent="0.3">
      <c r="A234" s="1"/>
      <c r="B234" s="1"/>
      <c r="C234" s="157"/>
      <c r="D234" s="157"/>
      <c r="E234" s="157"/>
      <c r="F234" s="157"/>
      <c r="G234" s="157"/>
      <c r="H234" s="157"/>
      <c r="J234" t="str">
        <f t="shared" si="3"/>
        <v/>
      </c>
    </row>
    <row r="235" spans="1:10" x14ac:dyDescent="0.3">
      <c r="A235" s="1"/>
      <c r="B235" s="1"/>
      <c r="C235" s="157"/>
      <c r="D235" s="157"/>
      <c r="E235" s="157"/>
      <c r="F235" s="157"/>
      <c r="G235" s="157"/>
      <c r="H235" s="157"/>
      <c r="J235" t="str">
        <f t="shared" si="3"/>
        <v/>
      </c>
    </row>
    <row r="236" spans="1:10" x14ac:dyDescent="0.3">
      <c r="A236" s="1"/>
      <c r="B236" s="1"/>
      <c r="C236" s="157"/>
      <c r="D236" s="157"/>
      <c r="E236" s="157"/>
      <c r="F236" s="157"/>
      <c r="G236" s="157"/>
      <c r="H236" s="157"/>
      <c r="J236" t="str">
        <f t="shared" si="3"/>
        <v/>
      </c>
    </row>
    <row r="237" spans="1:10" x14ac:dyDescent="0.3">
      <c r="A237" s="1"/>
      <c r="B237" s="1"/>
      <c r="C237" s="157"/>
      <c r="D237" s="157"/>
      <c r="E237" s="157"/>
      <c r="F237" s="157"/>
      <c r="G237" s="157"/>
      <c r="H237" s="157"/>
      <c r="J237" t="str">
        <f t="shared" si="3"/>
        <v/>
      </c>
    </row>
    <row r="238" spans="1:10" x14ac:dyDescent="0.3">
      <c r="A238" s="1"/>
      <c r="B238" s="1"/>
      <c r="C238" s="157"/>
      <c r="D238" s="157"/>
      <c r="E238" s="157"/>
      <c r="F238" s="157"/>
      <c r="G238" s="157"/>
      <c r="H238" s="157"/>
      <c r="J238" t="str">
        <f t="shared" si="3"/>
        <v/>
      </c>
    </row>
    <row r="239" spans="1:10" x14ac:dyDescent="0.3">
      <c r="A239" s="1"/>
      <c r="B239" s="1"/>
      <c r="C239" s="157"/>
      <c r="D239" s="157"/>
      <c r="E239" s="157"/>
      <c r="F239" s="157"/>
      <c r="G239" s="157"/>
      <c r="H239" s="157"/>
      <c r="J239" t="str">
        <f t="shared" si="3"/>
        <v/>
      </c>
    </row>
    <row r="240" spans="1:10" x14ac:dyDescent="0.3">
      <c r="A240" s="1"/>
      <c r="B240" s="1"/>
      <c r="C240" s="157"/>
      <c r="D240" s="157"/>
      <c r="E240" s="157"/>
      <c r="F240" s="157"/>
      <c r="G240" s="157"/>
      <c r="H240" s="157"/>
      <c r="J240" t="str">
        <f t="shared" si="3"/>
        <v/>
      </c>
    </row>
    <row r="241" spans="1:10" x14ac:dyDescent="0.3">
      <c r="A241" s="1"/>
      <c r="B241" s="1"/>
      <c r="C241" s="157"/>
      <c r="D241" s="157"/>
      <c r="E241" s="157"/>
      <c r="F241" s="157"/>
      <c r="G241" s="157"/>
      <c r="H241" s="157"/>
      <c r="J241" t="str">
        <f t="shared" si="3"/>
        <v/>
      </c>
    </row>
    <row r="242" spans="1:10" x14ac:dyDescent="0.3">
      <c r="A242" s="1"/>
      <c r="B242" s="1"/>
      <c r="C242" s="157"/>
      <c r="D242" s="157"/>
      <c r="E242" s="157"/>
      <c r="F242" s="157"/>
      <c r="G242" s="157"/>
      <c r="H242" s="157"/>
      <c r="J242" t="str">
        <f t="shared" si="3"/>
        <v/>
      </c>
    </row>
    <row r="243" spans="1:10" x14ac:dyDescent="0.3">
      <c r="A243" s="1"/>
      <c r="B243" s="1"/>
      <c r="C243" s="157"/>
      <c r="D243" s="157"/>
      <c r="E243" s="157"/>
      <c r="F243" s="157"/>
      <c r="G243" s="157"/>
      <c r="H243" s="157"/>
      <c r="J243" t="str">
        <f t="shared" si="3"/>
        <v/>
      </c>
    </row>
    <row r="244" spans="1:10" x14ac:dyDescent="0.3">
      <c r="A244" s="1"/>
      <c r="B244" s="1"/>
      <c r="C244" s="157"/>
      <c r="D244" s="157"/>
      <c r="E244" s="157"/>
      <c r="F244" s="157"/>
      <c r="G244" s="157"/>
      <c r="H244" s="157"/>
      <c r="J244" t="str">
        <f t="shared" si="3"/>
        <v/>
      </c>
    </row>
    <row r="245" spans="1:10" x14ac:dyDescent="0.3">
      <c r="A245" s="1"/>
      <c r="B245" s="1"/>
      <c r="C245" s="157"/>
      <c r="D245" s="157"/>
      <c r="E245" s="157"/>
      <c r="F245" s="157"/>
      <c r="G245" s="157"/>
      <c r="H245" s="157"/>
      <c r="J245" t="str">
        <f t="shared" si="3"/>
        <v/>
      </c>
    </row>
    <row r="246" spans="1:10" x14ac:dyDescent="0.3">
      <c r="A246" s="1"/>
      <c r="B246" s="1"/>
      <c r="C246" s="157"/>
      <c r="D246" s="157"/>
      <c r="E246" s="157"/>
      <c r="F246" s="157"/>
      <c r="G246" s="157"/>
      <c r="H246" s="157"/>
      <c r="J246" t="str">
        <f t="shared" si="3"/>
        <v/>
      </c>
    </row>
    <row r="247" spans="1:10" x14ac:dyDescent="0.3">
      <c r="A247" s="1"/>
      <c r="B247" s="1"/>
      <c r="C247" s="157"/>
      <c r="D247" s="157"/>
      <c r="E247" s="157"/>
      <c r="F247" s="157"/>
      <c r="G247" s="157"/>
      <c r="H247" s="157"/>
      <c r="J247" t="str">
        <f t="shared" si="3"/>
        <v/>
      </c>
    </row>
    <row r="248" spans="1:10" x14ac:dyDescent="0.3">
      <c r="A248" s="1"/>
      <c r="B248" s="1"/>
      <c r="C248" s="157"/>
      <c r="D248" s="157"/>
      <c r="E248" s="157"/>
      <c r="F248" s="157"/>
      <c r="G248" s="157"/>
      <c r="H248" s="157"/>
      <c r="J248" t="str">
        <f t="shared" si="3"/>
        <v/>
      </c>
    </row>
    <row r="249" spans="1:10" x14ac:dyDescent="0.3">
      <c r="A249" s="1"/>
      <c r="B249" s="1"/>
      <c r="C249" s="157"/>
      <c r="D249" s="157"/>
      <c r="E249" s="157"/>
      <c r="F249" s="157"/>
      <c r="G249" s="157"/>
      <c r="H249" s="157"/>
      <c r="J249" t="str">
        <f t="shared" si="3"/>
        <v/>
      </c>
    </row>
    <row r="250" spans="1:10" x14ac:dyDescent="0.3">
      <c r="A250" s="1"/>
      <c r="B250" s="1"/>
      <c r="C250" s="157"/>
      <c r="D250" s="157"/>
      <c r="E250" s="157"/>
      <c r="F250" s="157"/>
      <c r="G250" s="157"/>
      <c r="H250" s="157"/>
      <c r="J250" t="str">
        <f t="shared" si="3"/>
        <v/>
      </c>
    </row>
    <row r="251" spans="1:10" x14ac:dyDescent="0.3">
      <c r="A251" s="1"/>
      <c r="B251" s="1"/>
      <c r="C251" s="157"/>
      <c r="D251" s="157"/>
      <c r="E251" s="157"/>
      <c r="F251" s="157"/>
      <c r="G251" s="157"/>
      <c r="H251" s="157"/>
      <c r="J251" t="str">
        <f t="shared" si="3"/>
        <v/>
      </c>
    </row>
    <row r="252" spans="1:10" x14ac:dyDescent="0.3">
      <c r="A252" s="1"/>
      <c r="B252" s="1"/>
      <c r="C252" s="157"/>
      <c r="D252" s="157"/>
      <c r="E252" s="157"/>
      <c r="F252" s="157"/>
      <c r="G252" s="157"/>
      <c r="H252" s="157"/>
      <c r="J252" t="str">
        <f t="shared" si="3"/>
        <v/>
      </c>
    </row>
    <row r="253" spans="1:10" x14ac:dyDescent="0.3">
      <c r="A253" s="1"/>
      <c r="B253" s="1"/>
      <c r="C253" s="157"/>
      <c r="D253" s="157"/>
      <c r="E253" s="157"/>
      <c r="F253" s="157"/>
      <c r="G253" s="157"/>
      <c r="H253" s="157"/>
      <c r="J253" t="str">
        <f t="shared" si="3"/>
        <v/>
      </c>
    </row>
    <row r="254" spans="1:10" x14ac:dyDescent="0.3">
      <c r="A254" s="1"/>
      <c r="B254" s="1"/>
      <c r="C254" s="157"/>
      <c r="D254" s="157"/>
      <c r="E254" s="157"/>
      <c r="F254" s="157"/>
      <c r="G254" s="157"/>
      <c r="H254" s="157"/>
      <c r="J254" t="str">
        <f t="shared" si="3"/>
        <v/>
      </c>
    </row>
    <row r="255" spans="1:10" x14ac:dyDescent="0.3">
      <c r="A255" s="1"/>
      <c r="B255" s="1"/>
      <c r="C255" s="157"/>
      <c r="D255" s="157"/>
      <c r="E255" s="157"/>
      <c r="F255" s="157"/>
      <c r="G255" s="157"/>
      <c r="H255" s="157"/>
      <c r="J255" t="str">
        <f t="shared" si="3"/>
        <v/>
      </c>
    </row>
    <row r="256" spans="1:10" x14ac:dyDescent="0.3">
      <c r="A256" s="1"/>
      <c r="B256" s="1"/>
      <c r="C256" s="157"/>
      <c r="D256" s="157"/>
      <c r="E256" s="157"/>
      <c r="F256" s="157"/>
      <c r="G256" s="157"/>
      <c r="H256" s="157"/>
      <c r="J256" t="str">
        <f t="shared" si="3"/>
        <v/>
      </c>
    </row>
    <row r="257" spans="1:10" x14ac:dyDescent="0.3">
      <c r="A257" s="1"/>
      <c r="B257" s="1"/>
      <c r="C257" s="157"/>
      <c r="D257" s="157"/>
      <c r="E257" s="157"/>
      <c r="F257" s="157"/>
      <c r="G257" s="157"/>
      <c r="H257" s="157"/>
      <c r="J257" t="str">
        <f t="shared" si="3"/>
        <v/>
      </c>
    </row>
    <row r="258" spans="1:10" x14ac:dyDescent="0.3">
      <c r="A258" s="1"/>
      <c r="B258" s="1"/>
      <c r="C258" s="157"/>
      <c r="D258" s="157"/>
      <c r="E258" s="157"/>
      <c r="F258" s="157"/>
      <c r="G258" s="157"/>
      <c r="H258" s="157"/>
      <c r="J258" t="str">
        <f t="shared" ref="J258:J321" si="4">IF(B258 &lt;&gt; "",(IF(C258&lt;&gt;"",CONCATENATE(A258, " ", B258,"  - ",C258,IF(D258&lt;&gt;"","/",""),D258),CONCATENATE(A258, " ",B258,IF(D258&lt;&gt;"","  - ",""),D258))),"")</f>
        <v/>
      </c>
    </row>
    <row r="259" spans="1:10" x14ac:dyDescent="0.3">
      <c r="A259" s="1"/>
      <c r="B259" s="1"/>
      <c r="C259" s="157"/>
      <c r="D259" s="157"/>
      <c r="E259" s="157"/>
      <c r="F259" s="157"/>
      <c r="G259" s="157"/>
      <c r="H259" s="157"/>
      <c r="J259" t="str">
        <f t="shared" si="4"/>
        <v/>
      </c>
    </row>
    <row r="260" spans="1:10" x14ac:dyDescent="0.3">
      <c r="A260" s="1"/>
      <c r="B260" s="1"/>
      <c r="C260" s="157"/>
      <c r="D260" s="157"/>
      <c r="E260" s="157"/>
      <c r="F260" s="157"/>
      <c r="G260" s="157"/>
      <c r="H260" s="157"/>
      <c r="J260" t="str">
        <f t="shared" si="4"/>
        <v/>
      </c>
    </row>
    <row r="261" spans="1:10" x14ac:dyDescent="0.3">
      <c r="A261" s="1"/>
      <c r="B261" s="1"/>
      <c r="C261" s="157"/>
      <c r="D261" s="157"/>
      <c r="E261" s="157"/>
      <c r="F261" s="157"/>
      <c r="G261" s="157"/>
      <c r="H261" s="157"/>
      <c r="J261" t="str">
        <f t="shared" si="4"/>
        <v/>
      </c>
    </row>
    <row r="262" spans="1:10" x14ac:dyDescent="0.3">
      <c r="A262" s="1"/>
      <c r="B262" s="1"/>
      <c r="C262" s="157"/>
      <c r="D262" s="157"/>
      <c r="E262" s="157"/>
      <c r="F262" s="157"/>
      <c r="G262" s="157"/>
      <c r="H262" s="157"/>
      <c r="J262" t="str">
        <f t="shared" si="4"/>
        <v/>
      </c>
    </row>
    <row r="263" spans="1:10" x14ac:dyDescent="0.3">
      <c r="A263" s="1"/>
      <c r="B263" s="1"/>
      <c r="C263" s="157"/>
      <c r="D263" s="157"/>
      <c r="E263" s="157"/>
      <c r="F263" s="157"/>
      <c r="G263" s="157"/>
      <c r="H263" s="157"/>
      <c r="J263" t="str">
        <f t="shared" si="4"/>
        <v/>
      </c>
    </row>
    <row r="264" spans="1:10" x14ac:dyDescent="0.3">
      <c r="A264" s="1"/>
      <c r="B264" s="1"/>
      <c r="C264" s="157"/>
      <c r="D264" s="157"/>
      <c r="E264" s="157"/>
      <c r="F264" s="157"/>
      <c r="G264" s="157"/>
      <c r="H264" s="157"/>
      <c r="J264" t="str">
        <f t="shared" si="4"/>
        <v/>
      </c>
    </row>
    <row r="265" spans="1:10" x14ac:dyDescent="0.3">
      <c r="A265" s="1"/>
      <c r="B265" s="1"/>
      <c r="C265" s="157"/>
      <c r="D265" s="157"/>
      <c r="E265" s="157"/>
      <c r="F265" s="157"/>
      <c r="G265" s="157"/>
      <c r="H265" s="157"/>
      <c r="J265" t="str">
        <f t="shared" si="4"/>
        <v/>
      </c>
    </row>
    <row r="266" spans="1:10" x14ac:dyDescent="0.3">
      <c r="A266" s="1"/>
      <c r="B266" s="1"/>
      <c r="C266" s="157"/>
      <c r="D266" s="157"/>
      <c r="E266" s="157"/>
      <c r="F266" s="157"/>
      <c r="G266" s="157"/>
      <c r="H266" s="157"/>
      <c r="J266" t="str">
        <f t="shared" si="4"/>
        <v/>
      </c>
    </row>
    <row r="267" spans="1:10" x14ac:dyDescent="0.3">
      <c r="A267" s="1"/>
      <c r="B267" s="1"/>
      <c r="C267" s="157"/>
      <c r="D267" s="157"/>
      <c r="E267" s="157"/>
      <c r="F267" s="157"/>
      <c r="G267" s="157"/>
      <c r="H267" s="157"/>
      <c r="J267" t="str">
        <f t="shared" si="4"/>
        <v/>
      </c>
    </row>
    <row r="268" spans="1:10" x14ac:dyDescent="0.3">
      <c r="A268" s="1"/>
      <c r="B268" s="1"/>
      <c r="C268" s="157"/>
      <c r="D268" s="157"/>
      <c r="E268" s="157"/>
      <c r="F268" s="157"/>
      <c r="G268" s="157"/>
      <c r="H268" s="157"/>
      <c r="J268" t="str">
        <f t="shared" si="4"/>
        <v/>
      </c>
    </row>
    <row r="269" spans="1:10" x14ac:dyDescent="0.3">
      <c r="A269" s="1"/>
      <c r="B269" s="1"/>
      <c r="C269" s="157"/>
      <c r="D269" s="157"/>
      <c r="E269" s="157"/>
      <c r="F269" s="157"/>
      <c r="G269" s="157"/>
      <c r="H269" s="157"/>
      <c r="J269" t="str">
        <f t="shared" si="4"/>
        <v/>
      </c>
    </row>
    <row r="270" spans="1:10" x14ac:dyDescent="0.3">
      <c r="A270" s="1"/>
      <c r="B270" s="1"/>
      <c r="C270" s="157"/>
      <c r="D270" s="157"/>
      <c r="E270" s="157"/>
      <c r="F270" s="157"/>
      <c r="G270" s="157"/>
      <c r="H270" s="157"/>
      <c r="J270" t="str">
        <f t="shared" si="4"/>
        <v/>
      </c>
    </row>
    <row r="271" spans="1:10" x14ac:dyDescent="0.3">
      <c r="A271" s="1"/>
      <c r="B271" s="1"/>
      <c r="C271" s="157"/>
      <c r="D271" s="157"/>
      <c r="E271" s="157"/>
      <c r="F271" s="157"/>
      <c r="G271" s="157"/>
      <c r="H271" s="157"/>
      <c r="J271" t="str">
        <f t="shared" si="4"/>
        <v/>
      </c>
    </row>
    <row r="272" spans="1:10" x14ac:dyDescent="0.3">
      <c r="A272" s="1"/>
      <c r="B272" s="1"/>
      <c r="C272" s="157"/>
      <c r="D272" s="157"/>
      <c r="E272" s="157"/>
      <c r="F272" s="157"/>
      <c r="G272" s="157"/>
      <c r="H272" s="157"/>
      <c r="J272" t="str">
        <f t="shared" si="4"/>
        <v/>
      </c>
    </row>
    <row r="273" spans="1:10" x14ac:dyDescent="0.3">
      <c r="A273" s="1"/>
      <c r="B273" s="1"/>
      <c r="C273" s="157"/>
      <c r="D273" s="157"/>
      <c r="E273" s="157"/>
      <c r="F273" s="157"/>
      <c r="G273" s="157"/>
      <c r="H273" s="157"/>
      <c r="J273" t="str">
        <f t="shared" si="4"/>
        <v/>
      </c>
    </row>
    <row r="274" spans="1:10" x14ac:dyDescent="0.3">
      <c r="A274" s="1"/>
      <c r="B274" s="1"/>
      <c r="C274" s="157"/>
      <c r="D274" s="157"/>
      <c r="E274" s="157"/>
      <c r="F274" s="157"/>
      <c r="G274" s="157"/>
      <c r="H274" s="157"/>
      <c r="J274" t="str">
        <f t="shared" si="4"/>
        <v/>
      </c>
    </row>
    <row r="275" spans="1:10" x14ac:dyDescent="0.3">
      <c r="A275" s="1"/>
      <c r="B275" s="1"/>
      <c r="C275" s="157"/>
      <c r="D275" s="157"/>
      <c r="E275" s="157"/>
      <c r="F275" s="157"/>
      <c r="G275" s="157"/>
      <c r="H275" s="157"/>
      <c r="J275" t="str">
        <f t="shared" si="4"/>
        <v/>
      </c>
    </row>
    <row r="276" spans="1:10" x14ac:dyDescent="0.3">
      <c r="A276" s="1"/>
      <c r="B276" s="1"/>
      <c r="C276" s="157"/>
      <c r="D276" s="157"/>
      <c r="E276" s="157"/>
      <c r="F276" s="157"/>
      <c r="G276" s="157"/>
      <c r="H276" s="157"/>
      <c r="J276" t="str">
        <f t="shared" si="4"/>
        <v/>
      </c>
    </row>
    <row r="277" spans="1:10" x14ac:dyDescent="0.3">
      <c r="A277" s="1"/>
      <c r="B277" s="1"/>
      <c r="C277" s="157"/>
      <c r="D277" s="157"/>
      <c r="E277" s="157"/>
      <c r="F277" s="157"/>
      <c r="G277" s="157"/>
      <c r="H277" s="157"/>
      <c r="J277" t="str">
        <f t="shared" si="4"/>
        <v/>
      </c>
    </row>
    <row r="278" spans="1:10" x14ac:dyDescent="0.3">
      <c r="A278" s="1"/>
      <c r="B278" s="1"/>
      <c r="C278" s="157"/>
      <c r="D278" s="157"/>
      <c r="E278" s="157"/>
      <c r="F278" s="157"/>
      <c r="G278" s="157"/>
      <c r="H278" s="157"/>
      <c r="J278" t="str">
        <f t="shared" si="4"/>
        <v/>
      </c>
    </row>
    <row r="279" spans="1:10" x14ac:dyDescent="0.3">
      <c r="A279" s="1"/>
      <c r="B279" s="1"/>
      <c r="C279" s="157"/>
      <c r="D279" s="157"/>
      <c r="E279" s="157"/>
      <c r="F279" s="157"/>
      <c r="G279" s="157"/>
      <c r="H279" s="157"/>
      <c r="J279" t="str">
        <f t="shared" si="4"/>
        <v/>
      </c>
    </row>
    <row r="280" spans="1:10" x14ac:dyDescent="0.3">
      <c r="A280" s="1"/>
      <c r="B280" s="1"/>
      <c r="C280" s="157"/>
      <c r="D280" s="157"/>
      <c r="E280" s="157"/>
      <c r="F280" s="157"/>
      <c r="G280" s="157"/>
      <c r="H280" s="157"/>
      <c r="J280" t="str">
        <f t="shared" si="4"/>
        <v/>
      </c>
    </row>
    <row r="281" spans="1:10" x14ac:dyDescent="0.3">
      <c r="A281" s="1"/>
      <c r="B281" s="1"/>
      <c r="C281" s="157"/>
      <c r="D281" s="157"/>
      <c r="E281" s="157"/>
      <c r="F281" s="157"/>
      <c r="G281" s="157"/>
      <c r="H281" s="157"/>
      <c r="J281" t="str">
        <f t="shared" si="4"/>
        <v/>
      </c>
    </row>
    <row r="282" spans="1:10" x14ac:dyDescent="0.3">
      <c r="A282" s="1"/>
      <c r="B282" s="1"/>
      <c r="C282" s="157"/>
      <c r="D282" s="157"/>
      <c r="E282" s="157"/>
      <c r="F282" s="157"/>
      <c r="G282" s="157"/>
      <c r="H282" s="157"/>
      <c r="J282" t="str">
        <f t="shared" si="4"/>
        <v/>
      </c>
    </row>
    <row r="283" spans="1:10" x14ac:dyDescent="0.3">
      <c r="A283" s="1"/>
      <c r="B283" s="1"/>
      <c r="C283" s="157"/>
      <c r="D283" s="157"/>
      <c r="E283" s="157"/>
      <c r="F283" s="157"/>
      <c r="G283" s="157"/>
      <c r="H283" s="157"/>
      <c r="J283" t="str">
        <f t="shared" si="4"/>
        <v/>
      </c>
    </row>
    <row r="284" spans="1:10" x14ac:dyDescent="0.3">
      <c r="A284" s="1"/>
      <c r="B284" s="1"/>
      <c r="C284" s="157"/>
      <c r="D284" s="157"/>
      <c r="E284" s="157"/>
      <c r="F284" s="157"/>
      <c r="G284" s="157"/>
      <c r="H284" s="157"/>
      <c r="J284" t="str">
        <f t="shared" si="4"/>
        <v/>
      </c>
    </row>
    <row r="285" spans="1:10" x14ac:dyDescent="0.3">
      <c r="A285" s="1"/>
      <c r="B285" s="1"/>
      <c r="C285" s="157"/>
      <c r="D285" s="157"/>
      <c r="E285" s="157"/>
      <c r="F285" s="157"/>
      <c r="G285" s="157"/>
      <c r="H285" s="157"/>
      <c r="J285" t="str">
        <f t="shared" si="4"/>
        <v/>
      </c>
    </row>
    <row r="286" spans="1:10" x14ac:dyDescent="0.3">
      <c r="A286" s="1"/>
      <c r="B286" s="1"/>
      <c r="C286" s="157"/>
      <c r="D286" s="157"/>
      <c r="E286" s="157"/>
      <c r="F286" s="157"/>
      <c r="G286" s="157"/>
      <c r="H286" s="157"/>
      <c r="J286" t="str">
        <f t="shared" si="4"/>
        <v/>
      </c>
    </row>
    <row r="287" spans="1:10" x14ac:dyDescent="0.3">
      <c r="A287" s="1"/>
      <c r="B287" s="1"/>
      <c r="C287" s="157"/>
      <c r="D287" s="157"/>
      <c r="E287" s="157"/>
      <c r="F287" s="157"/>
      <c r="G287" s="157"/>
      <c r="H287" s="157"/>
      <c r="J287" t="str">
        <f t="shared" si="4"/>
        <v/>
      </c>
    </row>
    <row r="288" spans="1:10" x14ac:dyDescent="0.3">
      <c r="A288" s="1"/>
      <c r="B288" s="1"/>
      <c r="C288" s="157"/>
      <c r="D288" s="157"/>
      <c r="E288" s="157"/>
      <c r="F288" s="157"/>
      <c r="G288" s="157"/>
      <c r="H288" s="157"/>
      <c r="J288" t="str">
        <f t="shared" si="4"/>
        <v/>
      </c>
    </row>
    <row r="289" spans="1:10" x14ac:dyDescent="0.3">
      <c r="A289" s="1"/>
      <c r="B289" s="1"/>
      <c r="C289" s="157"/>
      <c r="D289" s="157"/>
      <c r="E289" s="157"/>
      <c r="F289" s="157"/>
      <c r="G289" s="157"/>
      <c r="H289" s="157"/>
      <c r="J289" t="str">
        <f t="shared" si="4"/>
        <v/>
      </c>
    </row>
    <row r="290" spans="1:10" x14ac:dyDescent="0.3">
      <c r="A290" s="1"/>
      <c r="B290" s="1"/>
      <c r="C290" s="157"/>
      <c r="D290" s="157"/>
      <c r="E290" s="157"/>
      <c r="F290" s="157"/>
      <c r="G290" s="157"/>
      <c r="H290" s="157"/>
      <c r="J290" t="str">
        <f t="shared" si="4"/>
        <v/>
      </c>
    </row>
    <row r="291" spans="1:10" x14ac:dyDescent="0.3">
      <c r="A291" s="1"/>
      <c r="B291" s="1"/>
      <c r="C291" s="157"/>
      <c r="D291" s="157"/>
      <c r="E291" s="157"/>
      <c r="F291" s="157"/>
      <c r="G291" s="157"/>
      <c r="H291" s="157"/>
      <c r="J291" t="str">
        <f t="shared" si="4"/>
        <v/>
      </c>
    </row>
    <row r="292" spans="1:10" x14ac:dyDescent="0.3">
      <c r="A292" s="1"/>
      <c r="B292" s="1"/>
      <c r="C292" s="157"/>
      <c r="D292" s="157"/>
      <c r="E292" s="157"/>
      <c r="F292" s="157"/>
      <c r="G292" s="157"/>
      <c r="H292" s="157"/>
      <c r="J292" t="str">
        <f t="shared" si="4"/>
        <v/>
      </c>
    </row>
    <row r="293" spans="1:10" x14ac:dyDescent="0.3">
      <c r="A293" s="1"/>
      <c r="B293" s="1"/>
      <c r="C293" s="157"/>
      <c r="D293" s="157"/>
      <c r="E293" s="157"/>
      <c r="F293" s="157"/>
      <c r="G293" s="157"/>
      <c r="H293" s="157"/>
      <c r="J293" t="str">
        <f t="shared" si="4"/>
        <v/>
      </c>
    </row>
    <row r="294" spans="1:10" x14ac:dyDescent="0.3">
      <c r="A294" s="1"/>
      <c r="B294" s="1"/>
      <c r="C294" s="157"/>
      <c r="D294" s="157"/>
      <c r="E294" s="157"/>
      <c r="F294" s="157"/>
      <c r="G294" s="157"/>
      <c r="H294" s="157"/>
      <c r="J294" t="str">
        <f t="shared" si="4"/>
        <v/>
      </c>
    </row>
    <row r="295" spans="1:10" x14ac:dyDescent="0.3">
      <c r="A295" s="1"/>
      <c r="B295" s="1"/>
      <c r="C295" s="157"/>
      <c r="D295" s="157"/>
      <c r="E295" s="157"/>
      <c r="F295" s="157"/>
      <c r="G295" s="157"/>
      <c r="H295" s="157"/>
      <c r="J295" t="str">
        <f t="shared" si="4"/>
        <v/>
      </c>
    </row>
    <row r="296" spans="1:10" x14ac:dyDescent="0.3">
      <c r="A296" s="1"/>
      <c r="B296" s="1"/>
      <c r="C296" s="157"/>
      <c r="D296" s="157"/>
      <c r="E296" s="157"/>
      <c r="F296" s="157"/>
      <c r="G296" s="157"/>
      <c r="H296" s="157"/>
      <c r="J296" t="str">
        <f t="shared" si="4"/>
        <v/>
      </c>
    </row>
    <row r="297" spans="1:10" x14ac:dyDescent="0.3">
      <c r="A297" s="1"/>
      <c r="B297" s="1"/>
      <c r="C297" s="157"/>
      <c r="D297" s="157"/>
      <c r="E297" s="157"/>
      <c r="F297" s="157"/>
      <c r="G297" s="157"/>
      <c r="H297" s="157"/>
      <c r="J297" t="str">
        <f t="shared" si="4"/>
        <v/>
      </c>
    </row>
    <row r="298" spans="1:10" x14ac:dyDescent="0.3">
      <c r="A298" s="1"/>
      <c r="B298" s="1"/>
      <c r="C298" s="157"/>
      <c r="D298" s="157"/>
      <c r="E298" s="157"/>
      <c r="F298" s="157"/>
      <c r="G298" s="157"/>
      <c r="H298" s="157"/>
      <c r="J298" t="str">
        <f t="shared" si="4"/>
        <v/>
      </c>
    </row>
    <row r="299" spans="1:10" x14ac:dyDescent="0.3">
      <c r="A299" s="1"/>
      <c r="B299" s="1"/>
      <c r="C299" s="157"/>
      <c r="D299" s="157"/>
      <c r="E299" s="157"/>
      <c r="F299" s="157"/>
      <c r="G299" s="157"/>
      <c r="H299" s="157"/>
      <c r="J299" t="str">
        <f t="shared" si="4"/>
        <v/>
      </c>
    </row>
    <row r="300" spans="1:10" x14ac:dyDescent="0.3">
      <c r="A300" s="1"/>
      <c r="B300" s="1"/>
      <c r="C300" s="157"/>
      <c r="D300" s="157"/>
      <c r="E300" s="157"/>
      <c r="F300" s="157"/>
      <c r="G300" s="157"/>
      <c r="H300" s="157"/>
      <c r="J300" t="str">
        <f t="shared" si="4"/>
        <v/>
      </c>
    </row>
    <row r="301" spans="1:10" x14ac:dyDescent="0.3">
      <c r="A301" s="1"/>
      <c r="B301" s="1"/>
      <c r="C301" s="157"/>
      <c r="D301" s="157"/>
      <c r="E301" s="157"/>
      <c r="F301" s="157"/>
      <c r="G301" s="157"/>
      <c r="H301" s="157"/>
      <c r="J301" t="str">
        <f t="shared" si="4"/>
        <v/>
      </c>
    </row>
    <row r="302" spans="1:10" x14ac:dyDescent="0.3">
      <c r="A302" s="1"/>
      <c r="B302" s="1"/>
      <c r="C302" s="157"/>
      <c r="D302" s="157"/>
      <c r="E302" s="157"/>
      <c r="F302" s="157"/>
      <c r="G302" s="157"/>
      <c r="H302" s="157"/>
      <c r="J302" t="str">
        <f t="shared" si="4"/>
        <v/>
      </c>
    </row>
    <row r="303" spans="1:10" x14ac:dyDescent="0.3">
      <c r="A303" s="1"/>
      <c r="B303" s="1"/>
      <c r="C303" s="157"/>
      <c r="D303" s="157"/>
      <c r="E303" s="157"/>
      <c r="F303" s="157"/>
      <c r="G303" s="157"/>
      <c r="H303" s="157"/>
      <c r="J303" t="str">
        <f t="shared" si="4"/>
        <v/>
      </c>
    </row>
    <row r="304" spans="1:10" x14ac:dyDescent="0.3">
      <c r="A304" s="1"/>
      <c r="B304" s="1"/>
      <c r="C304" s="157"/>
      <c r="D304" s="157"/>
      <c r="E304" s="157"/>
      <c r="F304" s="157"/>
      <c r="G304" s="157"/>
      <c r="H304" s="157"/>
      <c r="J304" t="str">
        <f t="shared" si="4"/>
        <v/>
      </c>
    </row>
    <row r="305" spans="1:10" x14ac:dyDescent="0.3">
      <c r="A305" s="1"/>
      <c r="B305" s="1"/>
      <c r="C305" s="157"/>
      <c r="D305" s="157"/>
      <c r="E305" s="157"/>
      <c r="F305" s="157"/>
      <c r="G305" s="157"/>
      <c r="H305" s="157"/>
      <c r="J305" t="str">
        <f t="shared" si="4"/>
        <v/>
      </c>
    </row>
    <row r="306" spans="1:10" x14ac:dyDescent="0.3">
      <c r="A306" s="1"/>
      <c r="B306" s="1"/>
      <c r="C306" s="157"/>
      <c r="D306" s="157"/>
      <c r="E306" s="157"/>
      <c r="F306" s="157"/>
      <c r="G306" s="157"/>
      <c r="H306" s="157"/>
      <c r="J306" t="str">
        <f t="shared" si="4"/>
        <v/>
      </c>
    </row>
    <row r="307" spans="1:10" x14ac:dyDescent="0.3">
      <c r="A307" s="1"/>
      <c r="B307" s="1"/>
      <c r="C307" s="157"/>
      <c r="D307" s="157"/>
      <c r="E307" s="157"/>
      <c r="F307" s="157"/>
      <c r="G307" s="157"/>
      <c r="H307" s="157"/>
      <c r="J307" t="str">
        <f t="shared" si="4"/>
        <v/>
      </c>
    </row>
    <row r="308" spans="1:10" x14ac:dyDescent="0.3">
      <c r="A308" s="1"/>
      <c r="B308" s="1"/>
      <c r="C308" s="157"/>
      <c r="D308" s="157"/>
      <c r="E308" s="157"/>
      <c r="F308" s="157"/>
      <c r="G308" s="157"/>
      <c r="H308" s="157"/>
      <c r="J308" t="str">
        <f t="shared" si="4"/>
        <v/>
      </c>
    </row>
    <row r="309" spans="1:10" x14ac:dyDescent="0.3">
      <c r="A309" s="1"/>
      <c r="B309" s="1"/>
      <c r="C309" s="157"/>
      <c r="D309" s="157"/>
      <c r="E309" s="157"/>
      <c r="F309" s="157"/>
      <c r="G309" s="157"/>
      <c r="H309" s="157"/>
      <c r="J309" t="str">
        <f t="shared" si="4"/>
        <v/>
      </c>
    </row>
    <row r="310" spans="1:10" x14ac:dyDescent="0.3">
      <c r="A310" s="1"/>
      <c r="B310" s="1"/>
      <c r="C310" s="157"/>
      <c r="D310" s="157"/>
      <c r="E310" s="157"/>
      <c r="F310" s="157"/>
      <c r="G310" s="157"/>
      <c r="H310" s="157"/>
      <c r="J310" t="str">
        <f t="shared" si="4"/>
        <v/>
      </c>
    </row>
    <row r="311" spans="1:10" x14ac:dyDescent="0.3">
      <c r="A311" s="1"/>
      <c r="B311" s="1"/>
      <c r="C311" s="157"/>
      <c r="D311" s="157"/>
      <c r="E311" s="157"/>
      <c r="F311" s="157"/>
      <c r="G311" s="157"/>
      <c r="H311" s="157"/>
      <c r="J311" t="str">
        <f t="shared" si="4"/>
        <v/>
      </c>
    </row>
    <row r="312" spans="1:10" x14ac:dyDescent="0.3">
      <c r="A312" s="1"/>
      <c r="B312" s="1"/>
      <c r="C312" s="157"/>
      <c r="D312" s="157"/>
      <c r="E312" s="157"/>
      <c r="F312" s="157"/>
      <c r="G312" s="157"/>
      <c r="H312" s="157"/>
      <c r="J312" t="str">
        <f t="shared" si="4"/>
        <v/>
      </c>
    </row>
    <row r="313" spans="1:10" x14ac:dyDescent="0.3">
      <c r="A313" s="1"/>
      <c r="B313" s="1"/>
      <c r="C313" s="157"/>
      <c r="D313" s="157"/>
      <c r="E313" s="157"/>
      <c r="F313" s="157"/>
      <c r="G313" s="157"/>
      <c r="H313" s="157"/>
      <c r="J313" t="str">
        <f t="shared" si="4"/>
        <v/>
      </c>
    </row>
    <row r="314" spans="1:10" x14ac:dyDescent="0.3">
      <c r="A314" s="1"/>
      <c r="B314" s="1"/>
      <c r="C314" s="157"/>
      <c r="D314" s="157"/>
      <c r="E314" s="157"/>
      <c r="F314" s="157"/>
      <c r="G314" s="157"/>
      <c r="H314" s="157"/>
      <c r="J314" t="str">
        <f t="shared" si="4"/>
        <v/>
      </c>
    </row>
    <row r="315" spans="1:10" x14ac:dyDescent="0.3">
      <c r="A315" s="1"/>
      <c r="B315" s="1"/>
      <c r="C315" s="157"/>
      <c r="D315" s="157"/>
      <c r="E315" s="157"/>
      <c r="F315" s="157"/>
      <c r="G315" s="157"/>
      <c r="H315" s="157"/>
      <c r="J315" t="str">
        <f t="shared" si="4"/>
        <v/>
      </c>
    </row>
    <row r="316" spans="1:10" x14ac:dyDescent="0.3">
      <c r="A316" s="1"/>
      <c r="B316" s="1"/>
      <c r="C316" s="157"/>
      <c r="D316" s="157"/>
      <c r="E316" s="157"/>
      <c r="F316" s="157"/>
      <c r="G316" s="157"/>
      <c r="H316" s="157"/>
      <c r="J316" t="str">
        <f t="shared" si="4"/>
        <v/>
      </c>
    </row>
    <row r="317" spans="1:10" x14ac:dyDescent="0.3">
      <c r="A317" s="1"/>
      <c r="B317" s="1"/>
      <c r="C317" s="157"/>
      <c r="D317" s="157"/>
      <c r="E317" s="157"/>
      <c r="F317" s="157"/>
      <c r="G317" s="157"/>
      <c r="H317" s="157"/>
      <c r="J317" t="str">
        <f t="shared" si="4"/>
        <v/>
      </c>
    </row>
    <row r="318" spans="1:10" x14ac:dyDescent="0.3">
      <c r="A318" s="1"/>
      <c r="B318" s="1"/>
      <c r="C318" s="157"/>
      <c r="D318" s="157"/>
      <c r="E318" s="157"/>
      <c r="F318" s="157"/>
      <c r="G318" s="157"/>
      <c r="H318" s="157"/>
      <c r="J318" t="str">
        <f t="shared" si="4"/>
        <v/>
      </c>
    </row>
    <row r="319" spans="1:10" x14ac:dyDescent="0.3">
      <c r="A319" s="1"/>
      <c r="B319" s="1"/>
      <c r="C319" s="157"/>
      <c r="D319" s="157"/>
      <c r="E319" s="157"/>
      <c r="F319" s="157"/>
      <c r="G319" s="157"/>
      <c r="H319" s="157"/>
      <c r="J319" t="str">
        <f t="shared" si="4"/>
        <v/>
      </c>
    </row>
    <row r="320" spans="1:10" x14ac:dyDescent="0.3">
      <c r="A320" s="1"/>
      <c r="B320" s="1"/>
      <c r="C320" s="157"/>
      <c r="D320" s="157"/>
      <c r="E320" s="157"/>
      <c r="F320" s="157"/>
      <c r="G320" s="157"/>
      <c r="H320" s="157"/>
      <c r="J320" t="str">
        <f t="shared" si="4"/>
        <v/>
      </c>
    </row>
    <row r="321" spans="1:10" x14ac:dyDescent="0.3">
      <c r="A321" s="1"/>
      <c r="B321" s="1"/>
      <c r="C321" s="157"/>
      <c r="D321" s="157"/>
      <c r="E321" s="157"/>
      <c r="F321" s="157"/>
      <c r="G321" s="157"/>
      <c r="H321" s="157"/>
      <c r="J321" t="str">
        <f t="shared" si="4"/>
        <v/>
      </c>
    </row>
    <row r="322" spans="1:10" x14ac:dyDescent="0.3">
      <c r="A322" s="1"/>
      <c r="B322" s="1"/>
      <c r="C322" s="157"/>
      <c r="D322" s="157"/>
      <c r="E322" s="157"/>
      <c r="F322" s="157"/>
      <c r="G322" s="157"/>
      <c r="H322" s="157"/>
      <c r="J322" t="str">
        <f t="shared" ref="J322:J385" si="5">IF(B322 &lt;&gt; "",(IF(C322&lt;&gt;"",CONCATENATE(A322, " ", B322,"  - ",C322,IF(D322&lt;&gt;"","/",""),D322),CONCATENATE(A322, " ",B322,IF(D322&lt;&gt;"","  - ",""),D322))),"")</f>
        <v/>
      </c>
    </row>
    <row r="323" spans="1:10" x14ac:dyDescent="0.3">
      <c r="A323" s="1"/>
      <c r="B323" s="1"/>
      <c r="C323" s="157"/>
      <c r="D323" s="157"/>
      <c r="E323" s="157"/>
      <c r="F323" s="157"/>
      <c r="G323" s="157"/>
      <c r="H323" s="157"/>
      <c r="J323" t="str">
        <f t="shared" si="5"/>
        <v/>
      </c>
    </row>
    <row r="324" spans="1:10" x14ac:dyDescent="0.3">
      <c r="A324" s="1"/>
      <c r="B324" s="1"/>
      <c r="C324" s="157"/>
      <c r="D324" s="157"/>
      <c r="E324" s="157"/>
      <c r="F324" s="157"/>
      <c r="G324" s="157"/>
      <c r="H324" s="157"/>
      <c r="J324" t="str">
        <f t="shared" si="5"/>
        <v/>
      </c>
    </row>
    <row r="325" spans="1:10" x14ac:dyDescent="0.3">
      <c r="A325" s="1"/>
      <c r="B325" s="1"/>
      <c r="C325" s="157"/>
      <c r="D325" s="157"/>
      <c r="E325" s="157"/>
      <c r="F325" s="157"/>
      <c r="G325" s="157"/>
      <c r="H325" s="157"/>
      <c r="J325" t="str">
        <f t="shared" si="5"/>
        <v/>
      </c>
    </row>
    <row r="326" spans="1:10" x14ac:dyDescent="0.3">
      <c r="A326" s="1"/>
      <c r="B326" s="1"/>
      <c r="C326" s="157"/>
      <c r="D326" s="157"/>
      <c r="E326" s="157"/>
      <c r="F326" s="157"/>
      <c r="G326" s="157"/>
      <c r="H326" s="157"/>
      <c r="J326" t="str">
        <f t="shared" si="5"/>
        <v/>
      </c>
    </row>
    <row r="327" spans="1:10" x14ac:dyDescent="0.3">
      <c r="A327" s="1"/>
      <c r="B327" s="1"/>
      <c r="C327" s="157"/>
      <c r="D327" s="157"/>
      <c r="E327" s="157"/>
      <c r="F327" s="157"/>
      <c r="G327" s="157"/>
      <c r="H327" s="157"/>
      <c r="J327" t="str">
        <f t="shared" si="5"/>
        <v/>
      </c>
    </row>
    <row r="328" spans="1:10" x14ac:dyDescent="0.3">
      <c r="A328" s="1"/>
      <c r="B328" s="1"/>
      <c r="C328" s="157"/>
      <c r="D328" s="157"/>
      <c r="E328" s="157"/>
      <c r="F328" s="157"/>
      <c r="G328" s="157"/>
      <c r="H328" s="157"/>
      <c r="J328" t="str">
        <f t="shared" si="5"/>
        <v/>
      </c>
    </row>
    <row r="329" spans="1:10" x14ac:dyDescent="0.3">
      <c r="A329" s="1"/>
      <c r="B329" s="1"/>
      <c r="C329" s="157"/>
      <c r="D329" s="157"/>
      <c r="E329" s="157"/>
      <c r="F329" s="157"/>
      <c r="G329" s="157"/>
      <c r="H329" s="157"/>
      <c r="J329" t="str">
        <f t="shared" si="5"/>
        <v/>
      </c>
    </row>
    <row r="330" spans="1:10" x14ac:dyDescent="0.3">
      <c r="A330" s="1"/>
      <c r="B330" s="1"/>
      <c r="C330" s="157"/>
      <c r="D330" s="157"/>
      <c r="E330" s="157"/>
      <c r="F330" s="157"/>
      <c r="G330" s="157"/>
      <c r="H330" s="157"/>
      <c r="J330" t="str">
        <f t="shared" si="5"/>
        <v/>
      </c>
    </row>
    <row r="331" spans="1:10" x14ac:dyDescent="0.3">
      <c r="A331" s="1"/>
      <c r="B331" s="1"/>
      <c r="C331" s="157"/>
      <c r="D331" s="157"/>
      <c r="E331" s="157"/>
      <c r="F331" s="157"/>
      <c r="G331" s="157"/>
      <c r="H331" s="157"/>
      <c r="J331" t="str">
        <f t="shared" si="5"/>
        <v/>
      </c>
    </row>
    <row r="332" spans="1:10" x14ac:dyDescent="0.3">
      <c r="A332" s="1"/>
      <c r="B332" s="1"/>
      <c r="C332" s="157"/>
      <c r="D332" s="157"/>
      <c r="E332" s="157"/>
      <c r="F332" s="157"/>
      <c r="G332" s="157"/>
      <c r="H332" s="157"/>
      <c r="J332" t="str">
        <f t="shared" si="5"/>
        <v/>
      </c>
    </row>
    <row r="333" spans="1:10" x14ac:dyDescent="0.3">
      <c r="A333" s="1"/>
      <c r="B333" s="1"/>
      <c r="C333" s="157"/>
      <c r="D333" s="157"/>
      <c r="E333" s="157"/>
      <c r="F333" s="157"/>
      <c r="G333" s="157"/>
      <c r="H333" s="157"/>
      <c r="J333" t="str">
        <f t="shared" si="5"/>
        <v/>
      </c>
    </row>
    <row r="334" spans="1:10" x14ac:dyDescent="0.3">
      <c r="A334" s="1"/>
      <c r="B334" s="1"/>
      <c r="C334" s="157"/>
      <c r="D334" s="157"/>
      <c r="E334" s="157"/>
      <c r="F334" s="157"/>
      <c r="G334" s="157"/>
      <c r="H334" s="157"/>
      <c r="J334" t="str">
        <f t="shared" si="5"/>
        <v/>
      </c>
    </row>
    <row r="335" spans="1:10" x14ac:dyDescent="0.3">
      <c r="A335" s="1"/>
      <c r="B335" s="1"/>
      <c r="C335" s="157"/>
      <c r="D335" s="157"/>
      <c r="E335" s="157"/>
      <c r="F335" s="157"/>
      <c r="G335" s="157"/>
      <c r="H335" s="157"/>
      <c r="J335" t="str">
        <f t="shared" si="5"/>
        <v/>
      </c>
    </row>
    <row r="336" spans="1:10" x14ac:dyDescent="0.3">
      <c r="A336" s="1"/>
      <c r="B336" s="1"/>
      <c r="C336" s="157"/>
      <c r="D336" s="157"/>
      <c r="E336" s="157"/>
      <c r="F336" s="157"/>
      <c r="G336" s="157"/>
      <c r="H336" s="157"/>
      <c r="J336" t="str">
        <f t="shared" si="5"/>
        <v/>
      </c>
    </row>
    <row r="337" spans="1:10" x14ac:dyDescent="0.3">
      <c r="A337" s="1"/>
      <c r="B337" s="1"/>
      <c r="C337" s="157"/>
      <c r="D337" s="157"/>
      <c r="E337" s="157"/>
      <c r="F337" s="157"/>
      <c r="G337" s="157"/>
      <c r="H337" s="157"/>
      <c r="J337" t="str">
        <f t="shared" si="5"/>
        <v/>
      </c>
    </row>
    <row r="338" spans="1:10" x14ac:dyDescent="0.3">
      <c r="A338" s="1"/>
      <c r="B338" s="1"/>
      <c r="C338" s="157"/>
      <c r="D338" s="157"/>
      <c r="E338" s="157"/>
      <c r="F338" s="157"/>
      <c r="G338" s="157"/>
      <c r="H338" s="157"/>
      <c r="J338" t="str">
        <f t="shared" si="5"/>
        <v/>
      </c>
    </row>
    <row r="339" spans="1:10" x14ac:dyDescent="0.3">
      <c r="A339" s="1"/>
      <c r="B339" s="1"/>
      <c r="C339" s="157"/>
      <c r="D339" s="157"/>
      <c r="E339" s="157"/>
      <c r="F339" s="157"/>
      <c r="G339" s="157"/>
      <c r="H339" s="157"/>
      <c r="J339" t="str">
        <f t="shared" si="5"/>
        <v/>
      </c>
    </row>
    <row r="340" spans="1:10" x14ac:dyDescent="0.3">
      <c r="A340" s="1"/>
      <c r="B340" s="1"/>
      <c r="C340" s="157"/>
      <c r="D340" s="157"/>
      <c r="E340" s="157"/>
      <c r="F340" s="157"/>
      <c r="G340" s="157"/>
      <c r="H340" s="157"/>
      <c r="J340" t="str">
        <f t="shared" si="5"/>
        <v/>
      </c>
    </row>
    <row r="341" spans="1:10" x14ac:dyDescent="0.3">
      <c r="A341" s="1"/>
      <c r="B341" s="1"/>
      <c r="C341" s="157"/>
      <c r="D341" s="157"/>
      <c r="E341" s="157"/>
      <c r="F341" s="157"/>
      <c r="G341" s="157"/>
      <c r="H341" s="157"/>
      <c r="J341" t="str">
        <f t="shared" si="5"/>
        <v/>
      </c>
    </row>
    <row r="342" spans="1:10" x14ac:dyDescent="0.3">
      <c r="A342" s="1"/>
      <c r="B342" s="1"/>
      <c r="C342" s="157"/>
      <c r="D342" s="157"/>
      <c r="E342" s="157"/>
      <c r="F342" s="157"/>
      <c r="G342" s="157"/>
      <c r="H342" s="157"/>
      <c r="J342" t="str">
        <f t="shared" si="5"/>
        <v/>
      </c>
    </row>
    <row r="343" spans="1:10" x14ac:dyDescent="0.3">
      <c r="A343" s="1"/>
      <c r="B343" s="1"/>
      <c r="C343" s="157"/>
      <c r="D343" s="157"/>
      <c r="E343" s="157"/>
      <c r="F343" s="157"/>
      <c r="G343" s="157"/>
      <c r="H343" s="157"/>
      <c r="J343" t="str">
        <f t="shared" si="5"/>
        <v/>
      </c>
    </row>
    <row r="344" spans="1:10" x14ac:dyDescent="0.3">
      <c r="A344" s="1"/>
      <c r="B344" s="1"/>
      <c r="C344" s="157"/>
      <c r="D344" s="157"/>
      <c r="E344" s="157"/>
      <c r="F344" s="157"/>
      <c r="G344" s="157"/>
      <c r="H344" s="157"/>
      <c r="J344" t="str">
        <f t="shared" si="5"/>
        <v/>
      </c>
    </row>
    <row r="345" spans="1:10" x14ac:dyDescent="0.3">
      <c r="A345" s="1"/>
      <c r="B345" s="1"/>
      <c r="C345" s="157"/>
      <c r="D345" s="157"/>
      <c r="E345" s="157"/>
      <c r="F345" s="157"/>
      <c r="G345" s="157"/>
      <c r="H345" s="157"/>
      <c r="J345" t="str">
        <f t="shared" si="5"/>
        <v/>
      </c>
    </row>
    <row r="346" spans="1:10" x14ac:dyDescent="0.3">
      <c r="A346" s="1"/>
      <c r="B346" s="1"/>
      <c r="C346" s="157"/>
      <c r="D346" s="157"/>
      <c r="E346" s="157"/>
      <c r="F346" s="157"/>
      <c r="G346" s="157"/>
      <c r="H346" s="157"/>
      <c r="J346" t="str">
        <f t="shared" si="5"/>
        <v/>
      </c>
    </row>
    <row r="347" spans="1:10" x14ac:dyDescent="0.3">
      <c r="A347" s="1"/>
      <c r="B347" s="1"/>
      <c r="C347" s="157"/>
      <c r="D347" s="157"/>
      <c r="E347" s="157"/>
      <c r="F347" s="157"/>
      <c r="G347" s="157"/>
      <c r="H347" s="157"/>
      <c r="J347" t="str">
        <f t="shared" si="5"/>
        <v/>
      </c>
    </row>
    <row r="348" spans="1:10" x14ac:dyDescent="0.3">
      <c r="A348" s="1"/>
      <c r="B348" s="1"/>
      <c r="C348" s="157"/>
      <c r="D348" s="157"/>
      <c r="E348" s="157"/>
      <c r="F348" s="157"/>
      <c r="G348" s="157"/>
      <c r="H348" s="157"/>
      <c r="J348" t="str">
        <f t="shared" si="5"/>
        <v/>
      </c>
    </row>
    <row r="349" spans="1:10" x14ac:dyDescent="0.3">
      <c r="A349" s="1"/>
      <c r="B349" s="1"/>
      <c r="C349" s="157"/>
      <c r="D349" s="157"/>
      <c r="E349" s="157"/>
      <c r="F349" s="157"/>
      <c r="G349" s="157"/>
      <c r="H349" s="157"/>
      <c r="J349" t="str">
        <f t="shared" si="5"/>
        <v/>
      </c>
    </row>
    <row r="350" spans="1:10" x14ac:dyDescent="0.3">
      <c r="A350" s="1"/>
      <c r="B350" s="1"/>
      <c r="C350" s="157"/>
      <c r="D350" s="157"/>
      <c r="E350" s="157"/>
      <c r="F350" s="157"/>
      <c r="G350" s="157"/>
      <c r="H350" s="157"/>
      <c r="J350" t="str">
        <f t="shared" si="5"/>
        <v/>
      </c>
    </row>
    <row r="351" spans="1:10" x14ac:dyDescent="0.3">
      <c r="A351" s="1"/>
      <c r="B351" s="1"/>
      <c r="C351" s="157"/>
      <c r="D351" s="157"/>
      <c r="E351" s="157"/>
      <c r="F351" s="157"/>
      <c r="G351" s="157"/>
      <c r="H351" s="157"/>
      <c r="J351" t="str">
        <f t="shared" si="5"/>
        <v/>
      </c>
    </row>
    <row r="352" spans="1:10" x14ac:dyDescent="0.3">
      <c r="A352" s="1"/>
      <c r="B352" s="1"/>
      <c r="C352" s="157"/>
      <c r="D352" s="157"/>
      <c r="E352" s="157"/>
      <c r="F352" s="157"/>
      <c r="G352" s="157"/>
      <c r="H352" s="157"/>
      <c r="J352" t="str">
        <f t="shared" si="5"/>
        <v/>
      </c>
    </row>
    <row r="353" spans="1:10" x14ac:dyDescent="0.3">
      <c r="A353" s="1"/>
      <c r="B353" s="1"/>
      <c r="C353" s="157"/>
      <c r="D353" s="157"/>
      <c r="E353" s="157"/>
      <c r="F353" s="157"/>
      <c r="G353" s="157"/>
      <c r="H353" s="157"/>
      <c r="J353" t="str">
        <f t="shared" si="5"/>
        <v/>
      </c>
    </row>
    <row r="354" spans="1:10" x14ac:dyDescent="0.3">
      <c r="A354" s="1"/>
      <c r="B354" s="1"/>
      <c r="C354" s="157"/>
      <c r="D354" s="157"/>
      <c r="E354" s="157"/>
      <c r="F354" s="157"/>
      <c r="G354" s="157"/>
      <c r="H354" s="157"/>
      <c r="J354" t="str">
        <f t="shared" si="5"/>
        <v/>
      </c>
    </row>
    <row r="355" spans="1:10" x14ac:dyDescent="0.3">
      <c r="A355" s="1"/>
      <c r="B355" s="1"/>
      <c r="C355" s="157"/>
      <c r="D355" s="157"/>
      <c r="E355" s="157"/>
      <c r="F355" s="157"/>
      <c r="G355" s="157"/>
      <c r="H355" s="157"/>
      <c r="J355" t="str">
        <f t="shared" si="5"/>
        <v/>
      </c>
    </row>
    <row r="356" spans="1:10" x14ac:dyDescent="0.3">
      <c r="A356" s="1"/>
      <c r="B356" s="1"/>
      <c r="C356" s="157"/>
      <c r="D356" s="157"/>
      <c r="E356" s="157"/>
      <c r="F356" s="157"/>
      <c r="G356" s="157"/>
      <c r="H356" s="157"/>
      <c r="J356" t="str">
        <f t="shared" si="5"/>
        <v/>
      </c>
    </row>
    <row r="357" spans="1:10" x14ac:dyDescent="0.3">
      <c r="A357" s="1"/>
      <c r="B357" s="1"/>
      <c r="C357" s="157"/>
      <c r="D357" s="157"/>
      <c r="E357" s="157"/>
      <c r="F357" s="157"/>
      <c r="G357" s="157"/>
      <c r="H357" s="157"/>
      <c r="J357" t="str">
        <f t="shared" si="5"/>
        <v/>
      </c>
    </row>
    <row r="358" spans="1:10" x14ac:dyDescent="0.3">
      <c r="A358" s="1"/>
      <c r="B358" s="1"/>
      <c r="C358" s="157"/>
      <c r="D358" s="157"/>
      <c r="E358" s="157"/>
      <c r="F358" s="157"/>
      <c r="G358" s="157"/>
      <c r="H358" s="157"/>
      <c r="J358" t="str">
        <f t="shared" si="5"/>
        <v/>
      </c>
    </row>
    <row r="359" spans="1:10" x14ac:dyDescent="0.3">
      <c r="A359" s="1"/>
      <c r="B359" s="1"/>
      <c r="C359" s="157"/>
      <c r="D359" s="157"/>
      <c r="E359" s="157"/>
      <c r="F359" s="157"/>
      <c r="G359" s="157"/>
      <c r="H359" s="157"/>
      <c r="J359" t="str">
        <f t="shared" si="5"/>
        <v/>
      </c>
    </row>
    <row r="360" spans="1:10" x14ac:dyDescent="0.3">
      <c r="A360" s="1"/>
      <c r="B360" s="1"/>
      <c r="C360" s="157"/>
      <c r="D360" s="157"/>
      <c r="E360" s="157"/>
      <c r="F360" s="157"/>
      <c r="G360" s="157"/>
      <c r="H360" s="157"/>
      <c r="J360" t="str">
        <f t="shared" si="5"/>
        <v/>
      </c>
    </row>
    <row r="361" spans="1:10" x14ac:dyDescent="0.3">
      <c r="A361" s="1"/>
      <c r="B361" s="1"/>
      <c r="C361" s="157"/>
      <c r="D361" s="157"/>
      <c r="E361" s="157"/>
      <c r="F361" s="157"/>
      <c r="G361" s="157"/>
      <c r="H361" s="157"/>
      <c r="J361" t="str">
        <f t="shared" si="5"/>
        <v/>
      </c>
    </row>
    <row r="362" spans="1:10" x14ac:dyDescent="0.3">
      <c r="A362" s="1"/>
      <c r="B362" s="1"/>
      <c r="C362" s="157"/>
      <c r="D362" s="157"/>
      <c r="E362" s="157"/>
      <c r="F362" s="157"/>
      <c r="G362" s="157"/>
      <c r="H362" s="157"/>
      <c r="J362" t="str">
        <f t="shared" si="5"/>
        <v/>
      </c>
    </row>
    <row r="363" spans="1:10" x14ac:dyDescent="0.3">
      <c r="A363" s="1"/>
      <c r="B363" s="1"/>
      <c r="C363" s="157"/>
      <c r="D363" s="157"/>
      <c r="E363" s="157"/>
      <c r="F363" s="157"/>
      <c r="G363" s="157"/>
      <c r="H363" s="157"/>
      <c r="J363" t="str">
        <f t="shared" si="5"/>
        <v/>
      </c>
    </row>
    <row r="364" spans="1:10" x14ac:dyDescent="0.3">
      <c r="A364" s="1"/>
      <c r="B364" s="1"/>
      <c r="C364" s="157"/>
      <c r="D364" s="157"/>
      <c r="E364" s="157"/>
      <c r="F364" s="157"/>
      <c r="G364" s="157"/>
      <c r="H364" s="157"/>
      <c r="J364" t="str">
        <f t="shared" si="5"/>
        <v/>
      </c>
    </row>
    <row r="365" spans="1:10" x14ac:dyDescent="0.3">
      <c r="A365" s="1"/>
      <c r="B365" s="1"/>
      <c r="C365" s="157"/>
      <c r="D365" s="157"/>
      <c r="E365" s="157"/>
      <c r="F365" s="157"/>
      <c r="G365" s="157"/>
      <c r="H365" s="157"/>
      <c r="J365" t="str">
        <f t="shared" si="5"/>
        <v/>
      </c>
    </row>
    <row r="366" spans="1:10" x14ac:dyDescent="0.3">
      <c r="A366" s="1"/>
      <c r="B366" s="1"/>
      <c r="C366" s="157"/>
      <c r="D366" s="157"/>
      <c r="E366" s="157"/>
      <c r="F366" s="157"/>
      <c r="G366" s="157"/>
      <c r="H366" s="157"/>
      <c r="J366" t="str">
        <f t="shared" si="5"/>
        <v/>
      </c>
    </row>
    <row r="367" spans="1:10" x14ac:dyDescent="0.3">
      <c r="A367" s="1"/>
      <c r="B367" s="1"/>
      <c r="C367" s="157"/>
      <c r="D367" s="157"/>
      <c r="E367" s="157"/>
      <c r="F367" s="157"/>
      <c r="G367" s="157"/>
      <c r="H367" s="157"/>
      <c r="J367" t="str">
        <f t="shared" si="5"/>
        <v/>
      </c>
    </row>
    <row r="368" spans="1:10" x14ac:dyDescent="0.3">
      <c r="A368" s="1"/>
      <c r="B368" s="1"/>
      <c r="C368" s="157"/>
      <c r="D368" s="157"/>
      <c r="E368" s="157"/>
      <c r="F368" s="157"/>
      <c r="G368" s="157"/>
      <c r="H368" s="157"/>
      <c r="J368" t="str">
        <f t="shared" si="5"/>
        <v/>
      </c>
    </row>
    <row r="369" spans="1:10" x14ac:dyDescent="0.3">
      <c r="A369" s="1"/>
      <c r="B369" s="1"/>
      <c r="C369" s="157"/>
      <c r="D369" s="157"/>
      <c r="E369" s="157"/>
      <c r="F369" s="157"/>
      <c r="G369" s="157"/>
      <c r="H369" s="157"/>
      <c r="J369" t="str">
        <f t="shared" si="5"/>
        <v/>
      </c>
    </row>
    <row r="370" spans="1:10" x14ac:dyDescent="0.3">
      <c r="A370" s="1"/>
      <c r="B370" s="1"/>
      <c r="C370" s="157"/>
      <c r="D370" s="157"/>
      <c r="E370" s="157"/>
      <c r="F370" s="157"/>
      <c r="G370" s="157"/>
      <c r="H370" s="157"/>
      <c r="J370" t="str">
        <f t="shared" si="5"/>
        <v/>
      </c>
    </row>
    <row r="371" spans="1:10" x14ac:dyDescent="0.3">
      <c r="A371" s="1"/>
      <c r="B371" s="1"/>
      <c r="C371" s="157"/>
      <c r="D371" s="157"/>
      <c r="E371" s="157"/>
      <c r="F371" s="157"/>
      <c r="G371" s="157"/>
      <c r="H371" s="157"/>
      <c r="J371" t="str">
        <f t="shared" si="5"/>
        <v/>
      </c>
    </row>
    <row r="372" spans="1:10" x14ac:dyDescent="0.3">
      <c r="A372" s="1"/>
      <c r="B372" s="1"/>
      <c r="C372" s="157"/>
      <c r="D372" s="157"/>
      <c r="E372" s="157"/>
      <c r="F372" s="157"/>
      <c r="G372" s="157"/>
      <c r="H372" s="157"/>
      <c r="J372" t="str">
        <f t="shared" si="5"/>
        <v/>
      </c>
    </row>
    <row r="373" spans="1:10" x14ac:dyDescent="0.3">
      <c r="A373" s="1"/>
      <c r="B373" s="1"/>
      <c r="C373" s="157"/>
      <c r="D373" s="157"/>
      <c r="E373" s="157"/>
      <c r="F373" s="157"/>
      <c r="G373" s="157"/>
      <c r="H373" s="157"/>
      <c r="J373" t="str">
        <f t="shared" si="5"/>
        <v/>
      </c>
    </row>
    <row r="374" spans="1:10" x14ac:dyDescent="0.3">
      <c r="A374" s="1"/>
      <c r="B374" s="1"/>
      <c r="C374" s="157"/>
      <c r="D374" s="157"/>
      <c r="E374" s="157"/>
      <c r="F374" s="157"/>
      <c r="G374" s="157"/>
      <c r="H374" s="157"/>
      <c r="J374" t="str">
        <f t="shared" si="5"/>
        <v/>
      </c>
    </row>
    <row r="375" spans="1:10" x14ac:dyDescent="0.3">
      <c r="A375" s="1"/>
      <c r="B375" s="1"/>
      <c r="C375" s="157"/>
      <c r="D375" s="157"/>
      <c r="E375" s="157"/>
      <c r="F375" s="157"/>
      <c r="G375" s="157"/>
      <c r="H375" s="157"/>
      <c r="J375" t="str">
        <f t="shared" si="5"/>
        <v/>
      </c>
    </row>
    <row r="376" spans="1:10" x14ac:dyDescent="0.3">
      <c r="A376" s="1"/>
      <c r="B376" s="1"/>
      <c r="C376" s="157"/>
      <c r="D376" s="157"/>
      <c r="E376" s="157"/>
      <c r="F376" s="157"/>
      <c r="G376" s="157"/>
      <c r="H376" s="157"/>
      <c r="J376" t="str">
        <f t="shared" si="5"/>
        <v/>
      </c>
    </row>
    <row r="377" spans="1:10" x14ac:dyDescent="0.3">
      <c r="A377" s="1"/>
      <c r="B377" s="1"/>
      <c r="C377" s="157"/>
      <c r="D377" s="157"/>
      <c r="E377" s="157"/>
      <c r="F377" s="157"/>
      <c r="G377" s="157"/>
      <c r="H377" s="157"/>
      <c r="J377" t="str">
        <f t="shared" si="5"/>
        <v/>
      </c>
    </row>
    <row r="378" spans="1:10" x14ac:dyDescent="0.3">
      <c r="A378" s="1"/>
      <c r="B378" s="1"/>
      <c r="C378" s="157"/>
      <c r="D378" s="157"/>
      <c r="E378" s="157"/>
      <c r="F378" s="157"/>
      <c r="G378" s="157"/>
      <c r="H378" s="157"/>
      <c r="J378" t="str">
        <f t="shared" si="5"/>
        <v/>
      </c>
    </row>
    <row r="379" spans="1:10" x14ac:dyDescent="0.3">
      <c r="A379" s="1"/>
      <c r="B379" s="1"/>
      <c r="C379" s="157"/>
      <c r="D379" s="157"/>
      <c r="E379" s="157"/>
      <c r="F379" s="157"/>
      <c r="G379" s="157"/>
      <c r="H379" s="157"/>
      <c r="J379" t="str">
        <f t="shared" si="5"/>
        <v/>
      </c>
    </row>
    <row r="380" spans="1:10" x14ac:dyDescent="0.3">
      <c r="A380" s="1"/>
      <c r="B380" s="1"/>
      <c r="C380" s="157"/>
      <c r="D380" s="157"/>
      <c r="E380" s="157"/>
      <c r="F380" s="157"/>
      <c r="G380" s="157"/>
      <c r="H380" s="157"/>
      <c r="J380" t="str">
        <f t="shared" si="5"/>
        <v/>
      </c>
    </row>
    <row r="381" spans="1:10" x14ac:dyDescent="0.3">
      <c r="A381" s="1"/>
      <c r="B381" s="1"/>
      <c r="C381" s="157"/>
      <c r="D381" s="157"/>
      <c r="E381" s="157"/>
      <c r="F381" s="157"/>
      <c r="G381" s="157"/>
      <c r="H381" s="157"/>
      <c r="J381" t="str">
        <f t="shared" si="5"/>
        <v/>
      </c>
    </row>
    <row r="382" spans="1:10" x14ac:dyDescent="0.3">
      <c r="A382" s="1"/>
      <c r="B382" s="1"/>
      <c r="C382" s="157"/>
      <c r="D382" s="157"/>
      <c r="E382" s="157"/>
      <c r="F382" s="157"/>
      <c r="G382" s="157"/>
      <c r="H382" s="157"/>
      <c r="J382" t="str">
        <f t="shared" si="5"/>
        <v/>
      </c>
    </row>
    <row r="383" spans="1:10" x14ac:dyDescent="0.3">
      <c r="A383" s="1"/>
      <c r="B383" s="1"/>
      <c r="C383" s="157"/>
      <c r="D383" s="157"/>
      <c r="E383" s="157"/>
      <c r="F383" s="157"/>
      <c r="G383" s="157"/>
      <c r="H383" s="157"/>
      <c r="J383" t="str">
        <f t="shared" si="5"/>
        <v/>
      </c>
    </row>
    <row r="384" spans="1:10" x14ac:dyDescent="0.3">
      <c r="A384" s="1"/>
      <c r="B384" s="1"/>
      <c r="C384" s="157"/>
      <c r="D384" s="157"/>
      <c r="E384" s="157"/>
      <c r="F384" s="157"/>
      <c r="G384" s="157"/>
      <c r="H384" s="157"/>
      <c r="J384" t="str">
        <f t="shared" si="5"/>
        <v/>
      </c>
    </row>
    <row r="385" spans="1:10" x14ac:dyDescent="0.3">
      <c r="A385" s="1"/>
      <c r="B385" s="1"/>
      <c r="C385" s="157"/>
      <c r="D385" s="157"/>
      <c r="E385" s="157"/>
      <c r="F385" s="157"/>
      <c r="G385" s="157"/>
      <c r="H385" s="157"/>
      <c r="J385" t="str">
        <f t="shared" si="5"/>
        <v/>
      </c>
    </row>
    <row r="386" spans="1:10" x14ac:dyDescent="0.3">
      <c r="A386" s="1"/>
      <c r="B386" s="1"/>
      <c r="C386" s="157"/>
      <c r="D386" s="157"/>
      <c r="E386" s="157"/>
      <c r="F386" s="157"/>
      <c r="G386" s="157"/>
      <c r="H386" s="157"/>
      <c r="J386" t="str">
        <f t="shared" ref="J386:J449" si="6">IF(B386 &lt;&gt; "",(IF(C386&lt;&gt;"",CONCATENATE(A386, " ", B386,"  - ",C386,IF(D386&lt;&gt;"","/",""),D386),CONCATENATE(A386, " ",B386,IF(D386&lt;&gt;"","  - ",""),D386))),"")</f>
        <v/>
      </c>
    </row>
    <row r="387" spans="1:10" x14ac:dyDescent="0.3">
      <c r="A387" s="1"/>
      <c r="B387" s="1"/>
      <c r="C387" s="157"/>
      <c r="D387" s="157"/>
      <c r="E387" s="157"/>
      <c r="F387" s="157"/>
      <c r="G387" s="157"/>
      <c r="H387" s="157"/>
      <c r="J387" t="str">
        <f t="shared" si="6"/>
        <v/>
      </c>
    </row>
    <row r="388" spans="1:10" x14ac:dyDescent="0.3">
      <c r="A388" s="1"/>
      <c r="B388" s="1"/>
      <c r="C388" s="157"/>
      <c r="D388" s="157"/>
      <c r="E388" s="157"/>
      <c r="F388" s="157"/>
      <c r="G388" s="157"/>
      <c r="H388" s="157"/>
      <c r="J388" t="str">
        <f t="shared" si="6"/>
        <v/>
      </c>
    </row>
    <row r="389" spans="1:10" x14ac:dyDescent="0.3">
      <c r="A389" s="1"/>
      <c r="B389" s="1"/>
      <c r="C389" s="157"/>
      <c r="D389" s="157"/>
      <c r="E389" s="157"/>
      <c r="F389" s="157"/>
      <c r="G389" s="157"/>
      <c r="H389" s="157"/>
      <c r="J389" t="str">
        <f t="shared" si="6"/>
        <v/>
      </c>
    </row>
    <row r="390" spans="1:10" x14ac:dyDescent="0.3">
      <c r="A390" s="1"/>
      <c r="B390" s="1"/>
      <c r="C390" s="157"/>
      <c r="D390" s="157"/>
      <c r="E390" s="157"/>
      <c r="F390" s="157"/>
      <c r="G390" s="157"/>
      <c r="H390" s="157"/>
      <c r="J390" t="str">
        <f t="shared" si="6"/>
        <v/>
      </c>
    </row>
    <row r="391" spans="1:10" x14ac:dyDescent="0.3">
      <c r="A391" s="1"/>
      <c r="B391" s="1"/>
      <c r="C391" s="157"/>
      <c r="D391" s="157"/>
      <c r="E391" s="157"/>
      <c r="F391" s="157"/>
      <c r="G391" s="157"/>
      <c r="H391" s="157"/>
      <c r="J391" t="str">
        <f t="shared" si="6"/>
        <v/>
      </c>
    </row>
    <row r="392" spans="1:10" x14ac:dyDescent="0.3">
      <c r="A392" s="1"/>
      <c r="B392" s="1"/>
      <c r="C392" s="157"/>
      <c r="D392" s="157"/>
      <c r="E392" s="157"/>
      <c r="F392" s="157"/>
      <c r="G392" s="157"/>
      <c r="H392" s="157"/>
      <c r="J392" t="str">
        <f t="shared" si="6"/>
        <v/>
      </c>
    </row>
    <row r="393" spans="1:10" x14ac:dyDescent="0.3">
      <c r="A393" s="1"/>
      <c r="B393" s="1"/>
      <c r="C393" s="157"/>
      <c r="D393" s="157"/>
      <c r="E393" s="157"/>
      <c r="F393" s="157"/>
      <c r="G393" s="157"/>
      <c r="H393" s="157"/>
      <c r="J393" t="str">
        <f t="shared" si="6"/>
        <v/>
      </c>
    </row>
    <row r="394" spans="1:10" x14ac:dyDescent="0.3">
      <c r="A394" s="1"/>
      <c r="B394" s="1"/>
      <c r="C394" s="157"/>
      <c r="D394" s="157"/>
      <c r="E394" s="157"/>
      <c r="F394" s="157"/>
      <c r="G394" s="157"/>
      <c r="H394" s="157"/>
      <c r="J394" t="str">
        <f t="shared" si="6"/>
        <v/>
      </c>
    </row>
    <row r="395" spans="1:10" x14ac:dyDescent="0.3">
      <c r="A395" s="1"/>
      <c r="B395" s="1"/>
      <c r="C395" s="157"/>
      <c r="D395" s="157"/>
      <c r="E395" s="157"/>
      <c r="F395" s="157"/>
      <c r="G395" s="157"/>
      <c r="H395" s="157"/>
      <c r="J395" t="str">
        <f t="shared" si="6"/>
        <v/>
      </c>
    </row>
    <row r="396" spans="1:10" x14ac:dyDescent="0.3">
      <c r="A396" s="1"/>
      <c r="B396" s="1"/>
      <c r="C396" s="157"/>
      <c r="D396" s="157"/>
      <c r="E396" s="157"/>
      <c r="F396" s="157"/>
      <c r="G396" s="157"/>
      <c r="H396" s="157"/>
      <c r="J396" t="str">
        <f t="shared" si="6"/>
        <v/>
      </c>
    </row>
    <row r="397" spans="1:10" x14ac:dyDescent="0.3">
      <c r="A397" s="1"/>
      <c r="B397" s="1"/>
      <c r="C397" s="157"/>
      <c r="D397" s="157"/>
      <c r="E397" s="157"/>
      <c r="F397" s="157"/>
      <c r="G397" s="157"/>
      <c r="H397" s="157"/>
      <c r="J397" t="str">
        <f t="shared" si="6"/>
        <v/>
      </c>
    </row>
    <row r="398" spans="1:10" x14ac:dyDescent="0.3">
      <c r="A398" s="1"/>
      <c r="B398" s="1"/>
      <c r="C398" s="157"/>
      <c r="D398" s="157"/>
      <c r="E398" s="157"/>
      <c r="F398" s="157"/>
      <c r="G398" s="157"/>
      <c r="H398" s="157"/>
      <c r="J398" t="str">
        <f t="shared" si="6"/>
        <v/>
      </c>
    </row>
    <row r="399" spans="1:10" x14ac:dyDescent="0.3">
      <c r="A399" s="1"/>
      <c r="B399" s="1"/>
      <c r="C399" s="157"/>
      <c r="D399" s="157"/>
      <c r="E399" s="157"/>
      <c r="F399" s="157"/>
      <c r="G399" s="157"/>
      <c r="H399" s="157"/>
      <c r="J399" t="str">
        <f t="shared" si="6"/>
        <v/>
      </c>
    </row>
    <row r="400" spans="1:10" x14ac:dyDescent="0.3">
      <c r="A400" s="1"/>
      <c r="B400" s="1"/>
      <c r="C400" s="157"/>
      <c r="D400" s="157"/>
      <c r="E400" s="157"/>
      <c r="F400" s="157"/>
      <c r="G400" s="157"/>
      <c r="H400" s="157"/>
      <c r="J400" t="str">
        <f t="shared" si="6"/>
        <v/>
      </c>
    </row>
    <row r="401" spans="1:10" x14ac:dyDescent="0.3">
      <c r="A401" s="1"/>
      <c r="B401" s="1"/>
      <c r="C401" s="157"/>
      <c r="D401" s="157"/>
      <c r="E401" s="157"/>
      <c r="F401" s="157"/>
      <c r="G401" s="157"/>
      <c r="H401" s="157"/>
      <c r="J401" t="str">
        <f t="shared" si="6"/>
        <v/>
      </c>
    </row>
    <row r="402" spans="1:10" x14ac:dyDescent="0.3">
      <c r="A402" s="1"/>
      <c r="B402" s="1"/>
      <c r="C402" s="157"/>
      <c r="D402" s="157"/>
      <c r="E402" s="157"/>
      <c r="F402" s="157"/>
      <c r="G402" s="157"/>
      <c r="H402" s="157"/>
      <c r="J402" t="str">
        <f t="shared" si="6"/>
        <v/>
      </c>
    </row>
    <row r="403" spans="1:10" x14ac:dyDescent="0.3">
      <c r="A403" s="1"/>
      <c r="B403" s="1"/>
      <c r="C403" s="157"/>
      <c r="D403" s="157"/>
      <c r="E403" s="157"/>
      <c r="F403" s="157"/>
      <c r="G403" s="157"/>
      <c r="H403" s="157"/>
      <c r="J403" t="str">
        <f t="shared" si="6"/>
        <v/>
      </c>
    </row>
    <row r="404" spans="1:10" x14ac:dyDescent="0.3">
      <c r="A404" s="1"/>
      <c r="B404" s="1"/>
      <c r="C404" s="157"/>
      <c r="D404" s="157"/>
      <c r="E404" s="157"/>
      <c r="F404" s="157"/>
      <c r="G404" s="157"/>
      <c r="H404" s="157"/>
      <c r="J404" t="str">
        <f t="shared" si="6"/>
        <v/>
      </c>
    </row>
    <row r="405" spans="1:10" x14ac:dyDescent="0.3">
      <c r="A405" s="1"/>
      <c r="B405" s="1"/>
      <c r="C405" s="157"/>
      <c r="D405" s="157"/>
      <c r="E405" s="157"/>
      <c r="F405" s="157"/>
      <c r="G405" s="157"/>
      <c r="H405" s="157"/>
      <c r="J405" t="str">
        <f t="shared" si="6"/>
        <v/>
      </c>
    </row>
    <row r="406" spans="1:10" x14ac:dyDescent="0.3">
      <c r="A406" s="1"/>
      <c r="B406" s="1"/>
      <c r="C406" s="157"/>
      <c r="D406" s="157"/>
      <c r="E406" s="157"/>
      <c r="F406" s="157"/>
      <c r="G406" s="157"/>
      <c r="H406" s="157"/>
      <c r="J406" t="str">
        <f t="shared" si="6"/>
        <v/>
      </c>
    </row>
    <row r="407" spans="1:10" x14ac:dyDescent="0.3">
      <c r="A407" s="1"/>
      <c r="B407" s="1"/>
      <c r="C407" s="157"/>
      <c r="D407" s="157"/>
      <c r="E407" s="157"/>
      <c r="F407" s="157"/>
      <c r="G407" s="157"/>
      <c r="H407" s="157"/>
      <c r="J407" t="str">
        <f t="shared" si="6"/>
        <v/>
      </c>
    </row>
    <row r="408" spans="1:10" x14ac:dyDescent="0.3">
      <c r="A408" s="1"/>
      <c r="B408" s="1"/>
      <c r="C408" s="157"/>
      <c r="D408" s="157"/>
      <c r="E408" s="157"/>
      <c r="F408" s="157"/>
      <c r="G408" s="157"/>
      <c r="H408" s="157"/>
      <c r="J408" t="str">
        <f t="shared" si="6"/>
        <v/>
      </c>
    </row>
    <row r="409" spans="1:10" x14ac:dyDescent="0.3">
      <c r="A409" s="1"/>
      <c r="B409" s="1"/>
      <c r="C409" s="157"/>
      <c r="D409" s="157"/>
      <c r="E409" s="157"/>
      <c r="F409" s="157"/>
      <c r="G409" s="157"/>
      <c r="H409" s="157"/>
      <c r="J409" t="str">
        <f t="shared" si="6"/>
        <v/>
      </c>
    </row>
    <row r="410" spans="1:10" x14ac:dyDescent="0.3">
      <c r="A410" s="1"/>
      <c r="B410" s="1"/>
      <c r="C410" s="157"/>
      <c r="D410" s="157"/>
      <c r="E410" s="157"/>
      <c r="F410" s="157"/>
      <c r="G410" s="157"/>
      <c r="H410" s="157"/>
      <c r="J410" t="str">
        <f t="shared" si="6"/>
        <v/>
      </c>
    </row>
    <row r="411" spans="1:10" x14ac:dyDescent="0.3">
      <c r="A411" s="1"/>
      <c r="B411" s="1"/>
      <c r="C411" s="157"/>
      <c r="D411" s="157"/>
      <c r="E411" s="157"/>
      <c r="F411" s="157"/>
      <c r="G411" s="157"/>
      <c r="H411" s="157"/>
      <c r="J411" t="str">
        <f t="shared" si="6"/>
        <v/>
      </c>
    </row>
    <row r="412" spans="1:10" x14ac:dyDescent="0.3">
      <c r="A412" s="1"/>
      <c r="B412" s="1"/>
      <c r="C412" s="157"/>
      <c r="D412" s="157"/>
      <c r="E412" s="157"/>
      <c r="F412" s="157"/>
      <c r="G412" s="157"/>
      <c r="H412" s="157"/>
      <c r="J412" t="str">
        <f t="shared" si="6"/>
        <v/>
      </c>
    </row>
    <row r="413" spans="1:10" x14ac:dyDescent="0.3">
      <c r="A413" s="1"/>
      <c r="B413" s="1"/>
      <c r="C413" s="157"/>
      <c r="D413" s="157"/>
      <c r="E413" s="157"/>
      <c r="F413" s="157"/>
      <c r="G413" s="157"/>
      <c r="H413" s="157"/>
      <c r="J413" t="str">
        <f t="shared" si="6"/>
        <v/>
      </c>
    </row>
    <row r="414" spans="1:10" x14ac:dyDescent="0.3">
      <c r="A414" s="1"/>
      <c r="B414" s="1"/>
      <c r="C414" s="157"/>
      <c r="D414" s="157"/>
      <c r="E414" s="157"/>
      <c r="F414" s="157"/>
      <c r="G414" s="157"/>
      <c r="H414" s="157"/>
      <c r="J414" t="str">
        <f t="shared" si="6"/>
        <v/>
      </c>
    </row>
    <row r="415" spans="1:10" x14ac:dyDescent="0.3">
      <c r="A415" s="1"/>
      <c r="B415" s="1"/>
      <c r="C415" s="157"/>
      <c r="D415" s="157"/>
      <c r="E415" s="157"/>
      <c r="F415" s="157"/>
      <c r="G415" s="157"/>
      <c r="H415" s="157"/>
      <c r="J415" t="str">
        <f t="shared" si="6"/>
        <v/>
      </c>
    </row>
    <row r="416" spans="1:10" x14ac:dyDescent="0.3">
      <c r="A416" s="1"/>
      <c r="B416" s="1"/>
      <c r="C416" s="157"/>
      <c r="D416" s="157"/>
      <c r="E416" s="157"/>
      <c r="F416" s="157"/>
      <c r="G416" s="157"/>
      <c r="H416" s="157"/>
      <c r="J416" t="str">
        <f t="shared" si="6"/>
        <v/>
      </c>
    </row>
    <row r="417" spans="1:10" x14ac:dyDescent="0.3">
      <c r="A417" s="1"/>
      <c r="B417" s="1"/>
      <c r="C417" s="157"/>
      <c r="D417" s="157"/>
      <c r="E417" s="157"/>
      <c r="F417" s="157"/>
      <c r="G417" s="157"/>
      <c r="H417" s="157"/>
      <c r="J417" t="str">
        <f t="shared" si="6"/>
        <v/>
      </c>
    </row>
    <row r="418" spans="1:10" x14ac:dyDescent="0.3">
      <c r="A418" s="1"/>
      <c r="B418" s="1"/>
      <c r="C418" s="157"/>
      <c r="D418" s="157"/>
      <c r="E418" s="157"/>
      <c r="F418" s="157"/>
      <c r="G418" s="157"/>
      <c r="H418" s="157"/>
      <c r="J418" t="str">
        <f t="shared" si="6"/>
        <v/>
      </c>
    </row>
    <row r="419" spans="1:10" x14ac:dyDescent="0.3">
      <c r="A419" s="1"/>
      <c r="B419" s="1"/>
      <c r="C419" s="157"/>
      <c r="D419" s="157"/>
      <c r="E419" s="157"/>
      <c r="F419" s="157"/>
      <c r="G419" s="157"/>
      <c r="H419" s="157"/>
      <c r="J419" t="str">
        <f t="shared" si="6"/>
        <v/>
      </c>
    </row>
    <row r="420" spans="1:10" x14ac:dyDescent="0.3">
      <c r="A420" s="1"/>
      <c r="B420" s="1"/>
      <c r="C420" s="157"/>
      <c r="D420" s="157"/>
      <c r="E420" s="157"/>
      <c r="F420" s="157"/>
      <c r="G420" s="157"/>
      <c r="H420" s="157"/>
      <c r="J420" t="str">
        <f t="shared" si="6"/>
        <v/>
      </c>
    </row>
    <row r="421" spans="1:10" x14ac:dyDescent="0.3">
      <c r="A421" s="1"/>
      <c r="B421" s="1"/>
      <c r="C421" s="157"/>
      <c r="D421" s="157"/>
      <c r="E421" s="157"/>
      <c r="F421" s="157"/>
      <c r="G421" s="157"/>
      <c r="H421" s="157"/>
      <c r="J421" t="str">
        <f t="shared" si="6"/>
        <v/>
      </c>
    </row>
    <row r="422" spans="1:10" x14ac:dyDescent="0.3">
      <c r="A422" s="1"/>
      <c r="B422" s="1"/>
      <c r="C422" s="157"/>
      <c r="D422" s="157"/>
      <c r="E422" s="157"/>
      <c r="F422" s="157"/>
      <c r="G422" s="157"/>
      <c r="H422" s="157"/>
      <c r="J422" t="str">
        <f t="shared" si="6"/>
        <v/>
      </c>
    </row>
    <row r="423" spans="1:10" x14ac:dyDescent="0.3">
      <c r="A423" s="1"/>
      <c r="B423" s="1"/>
      <c r="C423" s="157"/>
      <c r="D423" s="157"/>
      <c r="E423" s="157"/>
      <c r="F423" s="157"/>
      <c r="G423" s="157"/>
      <c r="H423" s="157"/>
      <c r="J423" t="str">
        <f t="shared" si="6"/>
        <v/>
      </c>
    </row>
    <row r="424" spans="1:10" x14ac:dyDescent="0.3">
      <c r="A424" s="1"/>
      <c r="B424" s="1"/>
      <c r="C424" s="157"/>
      <c r="D424" s="157"/>
      <c r="E424" s="157"/>
      <c r="F424" s="157"/>
      <c r="G424" s="157"/>
      <c r="H424" s="157"/>
      <c r="J424" t="str">
        <f t="shared" si="6"/>
        <v/>
      </c>
    </row>
    <row r="425" spans="1:10" x14ac:dyDescent="0.3">
      <c r="A425" s="1"/>
      <c r="B425" s="1"/>
      <c r="C425" s="157"/>
      <c r="D425" s="157"/>
      <c r="E425" s="157"/>
      <c r="F425" s="157"/>
      <c r="G425" s="157"/>
      <c r="H425" s="157"/>
      <c r="J425" t="str">
        <f t="shared" si="6"/>
        <v/>
      </c>
    </row>
    <row r="426" spans="1:10" x14ac:dyDescent="0.3">
      <c r="A426" s="1"/>
      <c r="B426" s="1"/>
      <c r="C426" s="157"/>
      <c r="D426" s="157"/>
      <c r="E426" s="157"/>
      <c r="F426" s="157"/>
      <c r="G426" s="157"/>
      <c r="H426" s="157"/>
      <c r="J426" t="str">
        <f t="shared" si="6"/>
        <v/>
      </c>
    </row>
    <row r="427" spans="1:10" x14ac:dyDescent="0.3">
      <c r="A427" s="1"/>
      <c r="B427" s="1"/>
      <c r="C427" s="157"/>
      <c r="D427" s="157"/>
      <c r="E427" s="157"/>
      <c r="F427" s="157"/>
      <c r="G427" s="157"/>
      <c r="H427" s="157"/>
      <c r="J427" t="str">
        <f t="shared" si="6"/>
        <v/>
      </c>
    </row>
    <row r="428" spans="1:10" x14ac:dyDescent="0.3">
      <c r="A428" s="1"/>
      <c r="B428" s="1"/>
      <c r="C428" s="157"/>
      <c r="D428" s="157"/>
      <c r="E428" s="157"/>
      <c r="F428" s="157"/>
      <c r="G428" s="157"/>
      <c r="H428" s="157"/>
      <c r="J428" t="str">
        <f t="shared" si="6"/>
        <v/>
      </c>
    </row>
    <row r="429" spans="1:10" x14ac:dyDescent="0.3">
      <c r="A429" s="1"/>
      <c r="B429" s="1"/>
      <c r="C429" s="157"/>
      <c r="D429" s="157"/>
      <c r="E429" s="157"/>
      <c r="F429" s="157"/>
      <c r="G429" s="157"/>
      <c r="H429" s="157"/>
      <c r="J429" t="str">
        <f t="shared" si="6"/>
        <v/>
      </c>
    </row>
    <row r="430" spans="1:10" x14ac:dyDescent="0.3">
      <c r="A430" s="1"/>
      <c r="B430" s="1"/>
      <c r="C430" s="157"/>
      <c r="D430" s="157"/>
      <c r="E430" s="157"/>
      <c r="F430" s="157"/>
      <c r="G430" s="157"/>
      <c r="H430" s="157"/>
      <c r="J430" t="str">
        <f t="shared" si="6"/>
        <v/>
      </c>
    </row>
    <row r="431" spans="1:10" x14ac:dyDescent="0.3">
      <c r="A431" s="1"/>
      <c r="B431" s="1"/>
      <c r="C431" s="157"/>
      <c r="D431" s="157"/>
      <c r="E431" s="157"/>
      <c r="F431" s="157"/>
      <c r="G431" s="157"/>
      <c r="H431" s="157"/>
      <c r="J431" t="str">
        <f t="shared" si="6"/>
        <v/>
      </c>
    </row>
    <row r="432" spans="1:10" x14ac:dyDescent="0.3">
      <c r="A432" s="1"/>
      <c r="B432" s="1"/>
      <c r="C432" s="157"/>
      <c r="D432" s="157"/>
      <c r="E432" s="157"/>
      <c r="F432" s="157"/>
      <c r="G432" s="157"/>
      <c r="H432" s="157"/>
      <c r="J432" t="str">
        <f t="shared" si="6"/>
        <v/>
      </c>
    </row>
    <row r="433" spans="1:10" x14ac:dyDescent="0.3">
      <c r="A433" s="1"/>
      <c r="B433" s="1"/>
      <c r="C433" s="157"/>
      <c r="D433" s="157"/>
      <c r="E433" s="157"/>
      <c r="F433" s="157"/>
      <c r="G433" s="157"/>
      <c r="H433" s="157"/>
      <c r="J433" t="str">
        <f t="shared" si="6"/>
        <v/>
      </c>
    </row>
    <row r="434" spans="1:10" x14ac:dyDescent="0.3">
      <c r="A434" s="1"/>
      <c r="B434" s="1"/>
      <c r="C434" s="157"/>
      <c r="D434" s="157"/>
      <c r="E434" s="157"/>
      <c r="F434" s="157"/>
      <c r="G434" s="157"/>
      <c r="H434" s="157"/>
      <c r="J434" t="str">
        <f t="shared" si="6"/>
        <v/>
      </c>
    </row>
    <row r="435" spans="1:10" x14ac:dyDescent="0.3">
      <c r="A435" s="1"/>
      <c r="B435" s="1"/>
      <c r="C435" s="157"/>
      <c r="D435" s="157"/>
      <c r="E435" s="157"/>
      <c r="F435" s="157"/>
      <c r="G435" s="157"/>
      <c r="H435" s="157"/>
      <c r="J435" t="str">
        <f t="shared" si="6"/>
        <v/>
      </c>
    </row>
    <row r="436" spans="1:10" x14ac:dyDescent="0.3">
      <c r="A436" s="1"/>
      <c r="B436" s="1"/>
      <c r="C436" s="157"/>
      <c r="D436" s="157"/>
      <c r="E436" s="157"/>
      <c r="F436" s="157"/>
      <c r="G436" s="157"/>
      <c r="H436" s="157"/>
      <c r="J436" t="str">
        <f t="shared" si="6"/>
        <v/>
      </c>
    </row>
    <row r="437" spans="1:10" x14ac:dyDescent="0.3">
      <c r="A437" s="1"/>
      <c r="B437" s="1"/>
      <c r="C437" s="157"/>
      <c r="D437" s="157"/>
      <c r="E437" s="157"/>
      <c r="F437" s="157"/>
      <c r="G437" s="157"/>
      <c r="H437" s="157"/>
      <c r="J437" t="str">
        <f t="shared" si="6"/>
        <v/>
      </c>
    </row>
    <row r="438" spans="1:10" x14ac:dyDescent="0.3">
      <c r="A438" s="1"/>
      <c r="B438" s="1"/>
      <c r="C438" s="157"/>
      <c r="D438" s="157"/>
      <c r="E438" s="157"/>
      <c r="F438" s="157"/>
      <c r="G438" s="157"/>
      <c r="H438" s="157"/>
      <c r="J438" t="str">
        <f t="shared" si="6"/>
        <v/>
      </c>
    </row>
    <row r="439" spans="1:10" x14ac:dyDescent="0.3">
      <c r="A439" s="1"/>
      <c r="B439" s="1"/>
      <c r="C439" s="157"/>
      <c r="D439" s="157"/>
      <c r="E439" s="157"/>
      <c r="F439" s="157"/>
      <c r="G439" s="157"/>
      <c r="H439" s="157"/>
      <c r="J439" t="str">
        <f t="shared" si="6"/>
        <v/>
      </c>
    </row>
    <row r="440" spans="1:10" x14ac:dyDescent="0.3">
      <c r="A440" s="1"/>
      <c r="B440" s="1"/>
      <c r="C440" s="157"/>
      <c r="D440" s="157"/>
      <c r="E440" s="157"/>
      <c r="F440" s="157"/>
      <c r="G440" s="157"/>
      <c r="H440" s="157"/>
      <c r="J440" t="str">
        <f t="shared" si="6"/>
        <v/>
      </c>
    </row>
    <row r="441" spans="1:10" x14ac:dyDescent="0.3">
      <c r="A441" s="1"/>
      <c r="B441" s="1"/>
      <c r="C441" s="157"/>
      <c r="D441" s="157"/>
      <c r="E441" s="157"/>
      <c r="F441" s="157"/>
      <c r="G441" s="157"/>
      <c r="H441" s="157"/>
      <c r="J441" t="str">
        <f t="shared" si="6"/>
        <v/>
      </c>
    </row>
    <row r="442" spans="1:10" x14ac:dyDescent="0.3">
      <c r="A442" s="1"/>
      <c r="B442" s="1"/>
      <c r="C442" s="157"/>
      <c r="D442" s="157"/>
      <c r="E442" s="157"/>
      <c r="F442" s="157"/>
      <c r="G442" s="157"/>
      <c r="H442" s="157"/>
      <c r="J442" t="str">
        <f t="shared" si="6"/>
        <v/>
      </c>
    </row>
    <row r="443" spans="1:10" x14ac:dyDescent="0.3">
      <c r="A443" s="1"/>
      <c r="B443" s="1"/>
      <c r="C443" s="157"/>
      <c r="D443" s="157"/>
      <c r="E443" s="157"/>
      <c r="F443" s="157"/>
      <c r="G443" s="157"/>
      <c r="H443" s="157"/>
      <c r="J443" t="str">
        <f t="shared" si="6"/>
        <v/>
      </c>
    </row>
    <row r="444" spans="1:10" x14ac:dyDescent="0.3">
      <c r="A444" s="1"/>
      <c r="B444" s="1"/>
      <c r="C444" s="157"/>
      <c r="D444" s="157"/>
      <c r="E444" s="157"/>
      <c r="F444" s="157"/>
      <c r="G444" s="157"/>
      <c r="H444" s="157"/>
      <c r="J444" t="str">
        <f t="shared" si="6"/>
        <v/>
      </c>
    </row>
    <row r="445" spans="1:10" x14ac:dyDescent="0.3">
      <c r="A445" s="1"/>
      <c r="B445" s="1"/>
      <c r="C445" s="157"/>
      <c r="D445" s="157"/>
      <c r="E445" s="157"/>
      <c r="F445" s="157"/>
      <c r="G445" s="157"/>
      <c r="H445" s="157"/>
      <c r="J445" t="str">
        <f t="shared" si="6"/>
        <v/>
      </c>
    </row>
    <row r="446" spans="1:10" x14ac:dyDescent="0.3">
      <c r="A446" s="1"/>
      <c r="B446" s="1"/>
      <c r="C446" s="157"/>
      <c r="D446" s="157"/>
      <c r="E446" s="157"/>
      <c r="F446" s="157"/>
      <c r="G446" s="157"/>
      <c r="H446" s="157"/>
      <c r="J446" t="str">
        <f t="shared" si="6"/>
        <v/>
      </c>
    </row>
    <row r="447" spans="1:10" x14ac:dyDescent="0.3">
      <c r="A447" s="1"/>
      <c r="B447" s="1"/>
      <c r="C447" s="157"/>
      <c r="D447" s="157"/>
      <c r="E447" s="157"/>
      <c r="F447" s="157"/>
      <c r="G447" s="157"/>
      <c r="H447" s="157"/>
      <c r="J447" t="str">
        <f t="shared" si="6"/>
        <v/>
      </c>
    </row>
    <row r="448" spans="1:10" x14ac:dyDescent="0.3">
      <c r="A448" s="1"/>
      <c r="B448" s="1"/>
      <c r="C448" s="157"/>
      <c r="D448" s="157"/>
      <c r="E448" s="157"/>
      <c r="F448" s="157"/>
      <c r="G448" s="157"/>
      <c r="H448" s="157"/>
      <c r="J448" t="str">
        <f t="shared" si="6"/>
        <v/>
      </c>
    </row>
    <row r="449" spans="1:10" x14ac:dyDescent="0.3">
      <c r="A449" s="1"/>
      <c r="B449" s="1"/>
      <c r="C449" s="157"/>
      <c r="D449" s="157"/>
      <c r="E449" s="157"/>
      <c r="F449" s="157"/>
      <c r="G449" s="157"/>
      <c r="H449" s="157"/>
      <c r="J449" t="str">
        <f t="shared" si="6"/>
        <v/>
      </c>
    </row>
    <row r="450" spans="1:10" x14ac:dyDescent="0.3">
      <c r="A450" s="1"/>
      <c r="B450" s="1"/>
      <c r="C450" s="157"/>
      <c r="D450" s="157"/>
      <c r="E450" s="157"/>
      <c r="F450" s="157"/>
      <c r="G450" s="157"/>
      <c r="H450" s="157"/>
      <c r="J450" t="str">
        <f t="shared" ref="J450:J513" si="7">IF(B450 &lt;&gt; "",(IF(C450&lt;&gt;"",CONCATENATE(A450, " ", B450,"  - ",C450,IF(D450&lt;&gt;"","/",""),D450),CONCATENATE(A450, " ",B450,IF(D450&lt;&gt;"","  - ",""),D450))),"")</f>
        <v/>
      </c>
    </row>
    <row r="451" spans="1:10" x14ac:dyDescent="0.3">
      <c r="A451" s="1"/>
      <c r="B451" s="1"/>
      <c r="C451" s="157"/>
      <c r="D451" s="157"/>
      <c r="E451" s="157"/>
      <c r="F451" s="157"/>
      <c r="G451" s="157"/>
      <c r="H451" s="157"/>
      <c r="J451" t="str">
        <f t="shared" si="7"/>
        <v/>
      </c>
    </row>
    <row r="452" spans="1:10" x14ac:dyDescent="0.3">
      <c r="A452" s="1"/>
      <c r="B452" s="1"/>
      <c r="C452" s="157"/>
      <c r="D452" s="157"/>
      <c r="E452" s="157"/>
      <c r="F452" s="157"/>
      <c r="G452" s="157"/>
      <c r="H452" s="157"/>
      <c r="J452" t="str">
        <f t="shared" si="7"/>
        <v/>
      </c>
    </row>
    <row r="453" spans="1:10" x14ac:dyDescent="0.3">
      <c r="A453" s="1"/>
      <c r="B453" s="1"/>
      <c r="C453" s="157"/>
      <c r="D453" s="157"/>
      <c r="E453" s="157"/>
      <c r="F453" s="157"/>
      <c r="G453" s="157"/>
      <c r="H453" s="157"/>
      <c r="J453" t="str">
        <f t="shared" si="7"/>
        <v/>
      </c>
    </row>
    <row r="454" spans="1:10" x14ac:dyDescent="0.3">
      <c r="A454" s="1"/>
      <c r="B454" s="1"/>
      <c r="C454" s="157"/>
      <c r="D454" s="157"/>
      <c r="E454" s="157"/>
      <c r="F454" s="157"/>
      <c r="G454" s="157"/>
      <c r="H454" s="157"/>
      <c r="J454" t="str">
        <f t="shared" si="7"/>
        <v/>
      </c>
    </row>
    <row r="455" spans="1:10" x14ac:dyDescent="0.3">
      <c r="A455" s="1"/>
      <c r="B455" s="1"/>
      <c r="C455" s="157"/>
      <c r="D455" s="157"/>
      <c r="E455" s="157"/>
      <c r="F455" s="157"/>
      <c r="G455" s="157"/>
      <c r="H455" s="157"/>
      <c r="J455" t="str">
        <f t="shared" si="7"/>
        <v/>
      </c>
    </row>
    <row r="456" spans="1:10" x14ac:dyDescent="0.3">
      <c r="A456" s="1"/>
      <c r="B456" s="1"/>
      <c r="C456" s="157"/>
      <c r="D456" s="157"/>
      <c r="E456" s="157"/>
      <c r="F456" s="157"/>
      <c r="G456" s="157"/>
      <c r="H456" s="157"/>
      <c r="J456" t="str">
        <f t="shared" si="7"/>
        <v/>
      </c>
    </row>
    <row r="457" spans="1:10" x14ac:dyDescent="0.3">
      <c r="A457" s="1"/>
      <c r="B457" s="1"/>
      <c r="C457" s="157"/>
      <c r="D457" s="157"/>
      <c r="E457" s="157"/>
      <c r="F457" s="157"/>
      <c r="G457" s="157"/>
      <c r="H457" s="157"/>
      <c r="J457" t="str">
        <f t="shared" si="7"/>
        <v/>
      </c>
    </row>
    <row r="458" spans="1:10" x14ac:dyDescent="0.3">
      <c r="A458" s="1"/>
      <c r="B458" s="1"/>
      <c r="C458" s="157"/>
      <c r="D458" s="157"/>
      <c r="E458" s="157"/>
      <c r="F458" s="157"/>
      <c r="G458" s="157"/>
      <c r="H458" s="157"/>
      <c r="J458" t="str">
        <f t="shared" si="7"/>
        <v/>
      </c>
    </row>
    <row r="459" spans="1:10" x14ac:dyDescent="0.3">
      <c r="A459" s="1"/>
      <c r="B459" s="1"/>
      <c r="C459" s="157"/>
      <c r="D459" s="157"/>
      <c r="E459" s="157"/>
      <c r="F459" s="157"/>
      <c r="G459" s="157"/>
      <c r="H459" s="157"/>
      <c r="J459" t="str">
        <f t="shared" si="7"/>
        <v/>
      </c>
    </row>
    <row r="460" spans="1:10" x14ac:dyDescent="0.3">
      <c r="A460" s="1"/>
      <c r="B460" s="1"/>
      <c r="C460" s="157"/>
      <c r="D460" s="157"/>
      <c r="E460" s="157"/>
      <c r="F460" s="157"/>
      <c r="G460" s="157"/>
      <c r="H460" s="157"/>
      <c r="J460" t="str">
        <f t="shared" si="7"/>
        <v/>
      </c>
    </row>
    <row r="461" spans="1:10" x14ac:dyDescent="0.3">
      <c r="A461" s="1"/>
      <c r="B461" s="1"/>
      <c r="C461" s="157"/>
      <c r="D461" s="157"/>
      <c r="E461" s="157"/>
      <c r="F461" s="157"/>
      <c r="G461" s="157"/>
      <c r="H461" s="157"/>
      <c r="J461" t="str">
        <f t="shared" si="7"/>
        <v/>
      </c>
    </row>
    <row r="462" spans="1:10" x14ac:dyDescent="0.3">
      <c r="A462" s="1"/>
      <c r="B462" s="1"/>
      <c r="C462" s="157"/>
      <c r="D462" s="157"/>
      <c r="E462" s="157"/>
      <c r="F462" s="157"/>
      <c r="G462" s="157"/>
      <c r="H462" s="157"/>
      <c r="J462" t="str">
        <f t="shared" si="7"/>
        <v/>
      </c>
    </row>
    <row r="463" spans="1:10" x14ac:dyDescent="0.3">
      <c r="A463" s="1"/>
      <c r="B463" s="1"/>
      <c r="C463" s="157"/>
      <c r="D463" s="157"/>
      <c r="E463" s="157"/>
      <c r="F463" s="157"/>
      <c r="G463" s="157"/>
      <c r="H463" s="157"/>
      <c r="J463" t="str">
        <f t="shared" si="7"/>
        <v/>
      </c>
    </row>
    <row r="464" spans="1:10" x14ac:dyDescent="0.3">
      <c r="A464" s="1"/>
      <c r="B464" s="1"/>
      <c r="C464" s="157"/>
      <c r="D464" s="157"/>
      <c r="E464" s="157"/>
      <c r="F464" s="157"/>
      <c r="G464" s="157"/>
      <c r="H464" s="157"/>
      <c r="J464" t="str">
        <f t="shared" si="7"/>
        <v/>
      </c>
    </row>
    <row r="465" spans="1:10" x14ac:dyDescent="0.3">
      <c r="A465" s="1"/>
      <c r="B465" s="1"/>
      <c r="C465" s="157"/>
      <c r="D465" s="157"/>
      <c r="E465" s="157"/>
      <c r="F465" s="157"/>
      <c r="G465" s="157"/>
      <c r="H465" s="157"/>
      <c r="J465" t="str">
        <f t="shared" si="7"/>
        <v/>
      </c>
    </row>
    <row r="466" spans="1:10" x14ac:dyDescent="0.3">
      <c r="A466" s="1"/>
      <c r="B466" s="1"/>
      <c r="C466" s="157"/>
      <c r="D466" s="157"/>
      <c r="E466" s="157"/>
      <c r="F466" s="157"/>
      <c r="G466" s="157"/>
      <c r="H466" s="157"/>
      <c r="J466" t="str">
        <f t="shared" si="7"/>
        <v/>
      </c>
    </row>
    <row r="467" spans="1:10" x14ac:dyDescent="0.3">
      <c r="A467" s="1"/>
      <c r="B467" s="1"/>
      <c r="C467" s="157"/>
      <c r="D467" s="157"/>
      <c r="E467" s="157"/>
      <c r="F467" s="157"/>
      <c r="G467" s="157"/>
      <c r="H467" s="157"/>
      <c r="J467" t="str">
        <f t="shared" si="7"/>
        <v/>
      </c>
    </row>
    <row r="468" spans="1:10" x14ac:dyDescent="0.3">
      <c r="A468" s="1"/>
      <c r="B468" s="1"/>
      <c r="C468" s="157"/>
      <c r="D468" s="157"/>
      <c r="E468" s="157"/>
      <c r="F468" s="157"/>
      <c r="G468" s="157"/>
      <c r="H468" s="157"/>
      <c r="J468" t="str">
        <f t="shared" si="7"/>
        <v/>
      </c>
    </row>
    <row r="469" spans="1:10" x14ac:dyDescent="0.3">
      <c r="A469" s="1"/>
      <c r="B469" s="1"/>
      <c r="C469" s="157"/>
      <c r="D469" s="157"/>
      <c r="E469" s="157"/>
      <c r="F469" s="157"/>
      <c r="G469" s="157"/>
      <c r="H469" s="157"/>
      <c r="J469" t="str">
        <f t="shared" si="7"/>
        <v/>
      </c>
    </row>
    <row r="470" spans="1:10" x14ac:dyDescent="0.3">
      <c r="A470" s="1"/>
      <c r="B470" s="1"/>
      <c r="C470" s="157"/>
      <c r="D470" s="157"/>
      <c r="E470" s="157"/>
      <c r="F470" s="157"/>
      <c r="G470" s="157"/>
      <c r="H470" s="157"/>
      <c r="J470" t="str">
        <f t="shared" si="7"/>
        <v/>
      </c>
    </row>
    <row r="471" spans="1:10" x14ac:dyDescent="0.3">
      <c r="A471" s="1"/>
      <c r="B471" s="1"/>
      <c r="C471" s="157"/>
      <c r="D471" s="157"/>
      <c r="E471" s="157"/>
      <c r="F471" s="157"/>
      <c r="G471" s="157"/>
      <c r="H471" s="157"/>
      <c r="J471" t="str">
        <f t="shared" si="7"/>
        <v/>
      </c>
    </row>
    <row r="472" spans="1:10" x14ac:dyDescent="0.3">
      <c r="A472" s="1"/>
      <c r="B472" s="1"/>
      <c r="C472" s="157"/>
      <c r="D472" s="157"/>
      <c r="E472" s="157"/>
      <c r="F472" s="157"/>
      <c r="G472" s="157"/>
      <c r="H472" s="157"/>
      <c r="J472" t="str">
        <f t="shared" si="7"/>
        <v/>
      </c>
    </row>
    <row r="473" spans="1:10" x14ac:dyDescent="0.3">
      <c r="A473" s="1"/>
      <c r="B473" s="1"/>
      <c r="C473" s="157"/>
      <c r="D473" s="157"/>
      <c r="E473" s="157"/>
      <c r="F473" s="157"/>
      <c r="G473" s="157"/>
      <c r="H473" s="157"/>
      <c r="J473" t="str">
        <f t="shared" si="7"/>
        <v/>
      </c>
    </row>
    <row r="474" spans="1:10" x14ac:dyDescent="0.3">
      <c r="A474" s="1"/>
      <c r="B474" s="1"/>
      <c r="C474" s="157"/>
      <c r="D474" s="157"/>
      <c r="E474" s="157"/>
      <c r="F474" s="157"/>
      <c r="G474" s="157"/>
      <c r="H474" s="157"/>
      <c r="J474" t="str">
        <f t="shared" si="7"/>
        <v/>
      </c>
    </row>
    <row r="475" spans="1:10" x14ac:dyDescent="0.3">
      <c r="A475" s="1"/>
      <c r="B475" s="1"/>
      <c r="C475" s="157"/>
      <c r="D475" s="157"/>
      <c r="E475" s="157"/>
      <c r="F475" s="157"/>
      <c r="G475" s="157"/>
      <c r="H475" s="157"/>
      <c r="J475" t="str">
        <f t="shared" si="7"/>
        <v/>
      </c>
    </row>
    <row r="476" spans="1:10" x14ac:dyDescent="0.3">
      <c r="A476" s="1"/>
      <c r="B476" s="1"/>
      <c r="C476" s="157"/>
      <c r="D476" s="157"/>
      <c r="E476" s="157"/>
      <c r="F476" s="157"/>
      <c r="G476" s="157"/>
      <c r="H476" s="157"/>
      <c r="J476" t="str">
        <f t="shared" si="7"/>
        <v/>
      </c>
    </row>
    <row r="477" spans="1:10" x14ac:dyDescent="0.3">
      <c r="A477" s="1"/>
      <c r="B477" s="1"/>
      <c r="C477" s="157"/>
      <c r="D477" s="157"/>
      <c r="E477" s="157"/>
      <c r="F477" s="157"/>
      <c r="G477" s="157"/>
      <c r="H477" s="157"/>
      <c r="J477" t="str">
        <f t="shared" si="7"/>
        <v/>
      </c>
    </row>
    <row r="478" spans="1:10" x14ac:dyDescent="0.3">
      <c r="A478" s="1"/>
      <c r="B478" s="1"/>
      <c r="C478" s="157"/>
      <c r="D478" s="157"/>
      <c r="E478" s="157"/>
      <c r="F478" s="157"/>
      <c r="G478" s="157"/>
      <c r="H478" s="157"/>
      <c r="J478" t="str">
        <f t="shared" si="7"/>
        <v/>
      </c>
    </row>
    <row r="479" spans="1:10" x14ac:dyDescent="0.3">
      <c r="A479" s="1"/>
      <c r="B479" s="1"/>
      <c r="C479" s="157"/>
      <c r="D479" s="157"/>
      <c r="E479" s="157"/>
      <c r="F479" s="157"/>
      <c r="G479" s="157"/>
      <c r="H479" s="157"/>
      <c r="J479" t="str">
        <f t="shared" si="7"/>
        <v/>
      </c>
    </row>
    <row r="480" spans="1:10" x14ac:dyDescent="0.3">
      <c r="A480" s="1"/>
      <c r="B480" s="1"/>
      <c r="C480" s="157"/>
      <c r="D480" s="157"/>
      <c r="E480" s="157"/>
      <c r="F480" s="157"/>
      <c r="G480" s="157"/>
      <c r="H480" s="157"/>
      <c r="J480" t="str">
        <f t="shared" si="7"/>
        <v/>
      </c>
    </row>
    <row r="481" spans="1:10" x14ac:dyDescent="0.3">
      <c r="A481" s="1"/>
      <c r="B481" s="1"/>
      <c r="C481" s="157"/>
      <c r="D481" s="157"/>
      <c r="E481" s="157"/>
      <c r="F481" s="157"/>
      <c r="G481" s="157"/>
      <c r="H481" s="157"/>
      <c r="J481" t="str">
        <f t="shared" si="7"/>
        <v/>
      </c>
    </row>
    <row r="482" spans="1:10" x14ac:dyDescent="0.3">
      <c r="A482" s="1"/>
      <c r="B482" s="1"/>
      <c r="C482" s="157"/>
      <c r="D482" s="157"/>
      <c r="E482" s="157"/>
      <c r="F482" s="157"/>
      <c r="G482" s="157"/>
      <c r="H482" s="157"/>
      <c r="J482" t="str">
        <f t="shared" si="7"/>
        <v/>
      </c>
    </row>
    <row r="483" spans="1:10" x14ac:dyDescent="0.3">
      <c r="A483" s="1"/>
      <c r="B483" s="1"/>
      <c r="C483" s="157"/>
      <c r="D483" s="157"/>
      <c r="E483" s="157"/>
      <c r="F483" s="157"/>
      <c r="G483" s="157"/>
      <c r="H483" s="157"/>
      <c r="J483" t="str">
        <f t="shared" si="7"/>
        <v/>
      </c>
    </row>
    <row r="484" spans="1:10" x14ac:dyDescent="0.3">
      <c r="A484" s="1"/>
      <c r="B484" s="1"/>
      <c r="C484" s="157"/>
      <c r="D484" s="157"/>
      <c r="E484" s="157"/>
      <c r="F484" s="157"/>
      <c r="G484" s="157"/>
      <c r="H484" s="157"/>
      <c r="J484" t="str">
        <f t="shared" si="7"/>
        <v/>
      </c>
    </row>
    <row r="485" spans="1:10" x14ac:dyDescent="0.3">
      <c r="A485" s="1"/>
      <c r="B485" s="1"/>
      <c r="C485" s="157"/>
      <c r="D485" s="157"/>
      <c r="E485" s="157"/>
      <c r="F485" s="157"/>
      <c r="G485" s="157"/>
      <c r="H485" s="157"/>
      <c r="J485" t="str">
        <f t="shared" si="7"/>
        <v/>
      </c>
    </row>
    <row r="486" spans="1:10" x14ac:dyDescent="0.3">
      <c r="A486" s="1"/>
      <c r="B486" s="1"/>
      <c r="C486" s="157"/>
      <c r="D486" s="157"/>
      <c r="E486" s="157"/>
      <c r="F486" s="157"/>
      <c r="G486" s="157"/>
      <c r="H486" s="157"/>
      <c r="J486" t="str">
        <f t="shared" si="7"/>
        <v/>
      </c>
    </row>
    <row r="487" spans="1:10" x14ac:dyDescent="0.3">
      <c r="A487" s="1"/>
      <c r="B487" s="1"/>
      <c r="C487" s="157"/>
      <c r="D487" s="157"/>
      <c r="E487" s="157"/>
      <c r="F487" s="157"/>
      <c r="G487" s="157"/>
      <c r="H487" s="157"/>
      <c r="J487" t="str">
        <f t="shared" si="7"/>
        <v/>
      </c>
    </row>
    <row r="488" spans="1:10" x14ac:dyDescent="0.3">
      <c r="A488" s="1"/>
      <c r="B488" s="1"/>
      <c r="C488" s="157"/>
      <c r="D488" s="157"/>
      <c r="E488" s="157"/>
      <c r="F488" s="157"/>
      <c r="G488" s="157"/>
      <c r="H488" s="157"/>
      <c r="J488" t="str">
        <f t="shared" si="7"/>
        <v/>
      </c>
    </row>
    <row r="489" spans="1:10" x14ac:dyDescent="0.3">
      <c r="A489" s="1"/>
      <c r="B489" s="1"/>
      <c r="C489" s="157"/>
      <c r="D489" s="157"/>
      <c r="E489" s="157"/>
      <c r="F489" s="157"/>
      <c r="G489" s="157"/>
      <c r="H489" s="157"/>
      <c r="J489" t="str">
        <f t="shared" si="7"/>
        <v/>
      </c>
    </row>
    <row r="490" spans="1:10" x14ac:dyDescent="0.3">
      <c r="A490" s="1"/>
      <c r="B490" s="1"/>
      <c r="C490" s="157"/>
      <c r="D490" s="157"/>
      <c r="E490" s="157"/>
      <c r="F490" s="157"/>
      <c r="G490" s="157"/>
      <c r="H490" s="157"/>
      <c r="J490" t="str">
        <f t="shared" si="7"/>
        <v/>
      </c>
    </row>
    <row r="491" spans="1:10" x14ac:dyDescent="0.3">
      <c r="A491" s="1"/>
      <c r="B491" s="1"/>
      <c r="C491" s="157"/>
      <c r="D491" s="157"/>
      <c r="E491" s="157"/>
      <c r="F491" s="157"/>
      <c r="G491" s="157"/>
      <c r="H491" s="157"/>
      <c r="J491" t="str">
        <f t="shared" si="7"/>
        <v/>
      </c>
    </row>
    <row r="492" spans="1:10" x14ac:dyDescent="0.3">
      <c r="A492" s="1"/>
      <c r="B492" s="1"/>
      <c r="C492" s="157"/>
      <c r="D492" s="157"/>
      <c r="E492" s="157"/>
      <c r="F492" s="157"/>
      <c r="G492" s="157"/>
      <c r="H492" s="157"/>
      <c r="J492" t="str">
        <f t="shared" si="7"/>
        <v/>
      </c>
    </row>
    <row r="493" spans="1:10" x14ac:dyDescent="0.3">
      <c r="A493" s="1"/>
      <c r="B493" s="1"/>
      <c r="C493" s="157"/>
      <c r="D493" s="157"/>
      <c r="E493" s="157"/>
      <c r="F493" s="157"/>
      <c r="G493" s="157"/>
      <c r="H493" s="157"/>
      <c r="J493" t="str">
        <f t="shared" si="7"/>
        <v/>
      </c>
    </row>
    <row r="494" spans="1:10" x14ac:dyDescent="0.3">
      <c r="A494" s="1"/>
      <c r="B494" s="1"/>
      <c r="C494" s="157"/>
      <c r="D494" s="157"/>
      <c r="E494" s="157"/>
      <c r="F494" s="157"/>
      <c r="G494" s="157"/>
      <c r="H494" s="157"/>
      <c r="J494" t="str">
        <f t="shared" si="7"/>
        <v/>
      </c>
    </row>
    <row r="495" spans="1:10" x14ac:dyDescent="0.3">
      <c r="A495" s="1"/>
      <c r="B495" s="1"/>
      <c r="C495" s="157"/>
      <c r="D495" s="157"/>
      <c r="E495" s="157"/>
      <c r="F495" s="157"/>
      <c r="G495" s="157"/>
      <c r="H495" s="157"/>
      <c r="J495" t="str">
        <f t="shared" si="7"/>
        <v/>
      </c>
    </row>
    <row r="496" spans="1:10" x14ac:dyDescent="0.3">
      <c r="A496" s="1"/>
      <c r="B496" s="1"/>
      <c r="C496" s="157"/>
      <c r="D496" s="157"/>
      <c r="E496" s="157"/>
      <c r="F496" s="157"/>
      <c r="G496" s="157"/>
      <c r="H496" s="157"/>
      <c r="J496" t="str">
        <f t="shared" si="7"/>
        <v/>
      </c>
    </row>
    <row r="497" spans="1:10" x14ac:dyDescent="0.3">
      <c r="A497" s="1"/>
      <c r="B497" s="1"/>
      <c r="C497" s="157"/>
      <c r="D497" s="157"/>
      <c r="E497" s="157"/>
      <c r="F497" s="157"/>
      <c r="G497" s="157"/>
      <c r="H497" s="157"/>
      <c r="J497" t="str">
        <f t="shared" si="7"/>
        <v/>
      </c>
    </row>
    <row r="498" spans="1:10" x14ac:dyDescent="0.3">
      <c r="A498" s="1"/>
      <c r="B498" s="1"/>
      <c r="C498" s="157"/>
      <c r="D498" s="157"/>
      <c r="E498" s="157"/>
      <c r="F498" s="157"/>
      <c r="G498" s="157"/>
      <c r="H498" s="157"/>
      <c r="J498" t="str">
        <f t="shared" si="7"/>
        <v/>
      </c>
    </row>
    <row r="499" spans="1:10" x14ac:dyDescent="0.3">
      <c r="A499" s="1"/>
      <c r="B499" s="1"/>
      <c r="C499" s="157"/>
      <c r="D499" s="157"/>
      <c r="E499" s="157"/>
      <c r="F499" s="157"/>
      <c r="G499" s="157"/>
      <c r="H499" s="157"/>
      <c r="J499" t="str">
        <f t="shared" si="7"/>
        <v/>
      </c>
    </row>
    <row r="500" spans="1:10" x14ac:dyDescent="0.3">
      <c r="A500" s="1"/>
      <c r="B500" s="1"/>
      <c r="C500" s="157"/>
      <c r="D500" s="157"/>
      <c r="E500" s="157"/>
      <c r="F500" s="157"/>
      <c r="G500" s="157"/>
      <c r="H500" s="157"/>
      <c r="J500" t="str">
        <f t="shared" si="7"/>
        <v/>
      </c>
    </row>
    <row r="501" spans="1:10" x14ac:dyDescent="0.3">
      <c r="A501" s="1"/>
      <c r="B501" s="1"/>
      <c r="C501" s="157"/>
      <c r="D501" s="157"/>
      <c r="E501" s="157"/>
      <c r="F501" s="157"/>
      <c r="G501" s="157"/>
      <c r="H501" s="157"/>
      <c r="J501" t="str">
        <f t="shared" si="7"/>
        <v/>
      </c>
    </row>
    <row r="502" spans="1:10" x14ac:dyDescent="0.3">
      <c r="A502" s="1"/>
      <c r="B502" s="1"/>
      <c r="C502" s="157"/>
      <c r="D502" s="157"/>
      <c r="E502" s="157"/>
      <c r="F502" s="157"/>
      <c r="G502" s="157"/>
      <c r="H502" s="157"/>
      <c r="J502" t="str">
        <f t="shared" si="7"/>
        <v/>
      </c>
    </row>
    <row r="503" spans="1:10" x14ac:dyDescent="0.3">
      <c r="A503" s="1"/>
      <c r="B503" s="1"/>
      <c r="C503" s="157"/>
      <c r="D503" s="157"/>
      <c r="E503" s="157"/>
      <c r="F503" s="157"/>
      <c r="G503" s="157"/>
      <c r="H503" s="157"/>
      <c r="J503" t="str">
        <f t="shared" si="7"/>
        <v/>
      </c>
    </row>
    <row r="504" spans="1:10" x14ac:dyDescent="0.3">
      <c r="A504" s="1"/>
      <c r="B504" s="1"/>
      <c r="C504" s="157"/>
      <c r="D504" s="157"/>
      <c r="E504" s="157"/>
      <c r="F504" s="157"/>
      <c r="G504" s="157"/>
      <c r="H504" s="157"/>
      <c r="J504" t="str">
        <f t="shared" si="7"/>
        <v/>
      </c>
    </row>
    <row r="505" spans="1:10" x14ac:dyDescent="0.3">
      <c r="A505" s="1"/>
      <c r="B505" s="1"/>
      <c r="C505" s="157"/>
      <c r="D505" s="157"/>
      <c r="E505" s="157"/>
      <c r="F505" s="157"/>
      <c r="G505" s="157"/>
      <c r="H505" s="157"/>
      <c r="J505" t="str">
        <f t="shared" si="7"/>
        <v/>
      </c>
    </row>
    <row r="506" spans="1:10" x14ac:dyDescent="0.3">
      <c r="A506" s="1"/>
      <c r="B506" s="1"/>
      <c r="C506" s="157"/>
      <c r="D506" s="157"/>
      <c r="E506" s="157"/>
      <c r="F506" s="157"/>
      <c r="G506" s="157"/>
      <c r="H506" s="157"/>
      <c r="J506" t="str">
        <f t="shared" si="7"/>
        <v/>
      </c>
    </row>
    <row r="507" spans="1:10" x14ac:dyDescent="0.3">
      <c r="A507" s="1"/>
      <c r="B507" s="1"/>
      <c r="C507" s="157"/>
      <c r="D507" s="157"/>
      <c r="E507" s="157"/>
      <c r="F507" s="157"/>
      <c r="G507" s="157"/>
      <c r="H507" s="157"/>
      <c r="J507" t="str">
        <f t="shared" si="7"/>
        <v/>
      </c>
    </row>
    <row r="508" spans="1:10" x14ac:dyDescent="0.3">
      <c r="A508" s="1"/>
      <c r="B508" s="1"/>
      <c r="C508" s="157"/>
      <c r="D508" s="157"/>
      <c r="E508" s="157"/>
      <c r="F508" s="157"/>
      <c r="G508" s="157"/>
      <c r="H508" s="157"/>
      <c r="J508" t="str">
        <f t="shared" si="7"/>
        <v/>
      </c>
    </row>
    <row r="509" spans="1:10" x14ac:dyDescent="0.3">
      <c r="A509" s="1"/>
      <c r="B509" s="1"/>
      <c r="C509" s="157"/>
      <c r="D509" s="157"/>
      <c r="E509" s="157"/>
      <c r="F509" s="157"/>
      <c r="G509" s="157"/>
      <c r="H509" s="157"/>
      <c r="J509" t="str">
        <f t="shared" si="7"/>
        <v/>
      </c>
    </row>
    <row r="510" spans="1:10" x14ac:dyDescent="0.3">
      <c r="A510" s="1"/>
      <c r="B510" s="1"/>
      <c r="C510" s="157"/>
      <c r="D510" s="157"/>
      <c r="E510" s="157"/>
      <c r="F510" s="157"/>
      <c r="G510" s="157"/>
      <c r="H510" s="157"/>
      <c r="J510" t="str">
        <f t="shared" si="7"/>
        <v/>
      </c>
    </row>
    <row r="511" spans="1:10" x14ac:dyDescent="0.3">
      <c r="A511" s="1"/>
      <c r="B511" s="1"/>
      <c r="C511" s="157"/>
      <c r="D511" s="157"/>
      <c r="E511" s="157"/>
      <c r="F511" s="157"/>
      <c r="G511" s="157"/>
      <c r="H511" s="157"/>
      <c r="J511" t="str">
        <f t="shared" si="7"/>
        <v/>
      </c>
    </row>
    <row r="512" spans="1:10" x14ac:dyDescent="0.3">
      <c r="A512" s="1"/>
      <c r="B512" s="1"/>
      <c r="C512" s="157"/>
      <c r="D512" s="157"/>
      <c r="E512" s="157"/>
      <c r="F512" s="157"/>
      <c r="G512" s="157"/>
      <c r="H512" s="157"/>
      <c r="J512" t="str">
        <f t="shared" si="7"/>
        <v/>
      </c>
    </row>
    <row r="513" spans="1:10" x14ac:dyDescent="0.3">
      <c r="A513" s="1"/>
      <c r="B513" s="1"/>
      <c r="C513" s="157"/>
      <c r="D513" s="157"/>
      <c r="E513" s="157"/>
      <c r="F513" s="157"/>
      <c r="G513" s="157"/>
      <c r="H513" s="157"/>
      <c r="J513" t="str">
        <f t="shared" si="7"/>
        <v/>
      </c>
    </row>
    <row r="514" spans="1:10" x14ac:dyDescent="0.3">
      <c r="A514" s="1"/>
      <c r="B514" s="1"/>
      <c r="C514" s="157"/>
      <c r="D514" s="157"/>
      <c r="E514" s="157"/>
      <c r="F514" s="157"/>
      <c r="G514" s="157"/>
      <c r="H514" s="157"/>
      <c r="J514" t="str">
        <f t="shared" ref="J514:J577" si="8">IF(B514 &lt;&gt; "",(IF(C514&lt;&gt;"",CONCATENATE(A514, " ", B514,"  - ",C514,IF(D514&lt;&gt;"","/",""),D514),CONCATENATE(A514, " ",B514,IF(D514&lt;&gt;"","  - ",""),D514))),"")</f>
        <v/>
      </c>
    </row>
    <row r="515" spans="1:10" x14ac:dyDescent="0.3">
      <c r="A515" s="1"/>
      <c r="B515" s="1"/>
      <c r="C515" s="157"/>
      <c r="D515" s="157"/>
      <c r="E515" s="157"/>
      <c r="F515" s="157"/>
      <c r="G515" s="157"/>
      <c r="H515" s="157"/>
      <c r="J515" t="str">
        <f t="shared" si="8"/>
        <v/>
      </c>
    </row>
    <row r="516" spans="1:10" x14ac:dyDescent="0.3">
      <c r="A516" s="1"/>
      <c r="B516" s="1"/>
      <c r="C516" s="157"/>
      <c r="D516" s="157"/>
      <c r="E516" s="157"/>
      <c r="F516" s="157"/>
      <c r="G516" s="157"/>
      <c r="H516" s="157"/>
      <c r="J516" t="str">
        <f t="shared" si="8"/>
        <v/>
      </c>
    </row>
    <row r="517" spans="1:10" x14ac:dyDescent="0.3">
      <c r="A517" s="1"/>
      <c r="B517" s="1"/>
      <c r="C517" s="157"/>
      <c r="D517" s="157"/>
      <c r="E517" s="157"/>
      <c r="F517" s="157"/>
      <c r="G517" s="157"/>
      <c r="H517" s="157"/>
      <c r="J517" t="str">
        <f t="shared" si="8"/>
        <v/>
      </c>
    </row>
    <row r="518" spans="1:10" x14ac:dyDescent="0.3">
      <c r="A518" s="1"/>
      <c r="B518" s="1"/>
      <c r="C518" s="157"/>
      <c r="D518" s="157"/>
      <c r="E518" s="157"/>
      <c r="F518" s="157"/>
      <c r="G518" s="157"/>
      <c r="H518" s="157"/>
      <c r="J518" t="str">
        <f t="shared" si="8"/>
        <v/>
      </c>
    </row>
    <row r="519" spans="1:10" x14ac:dyDescent="0.3">
      <c r="A519" s="1"/>
      <c r="B519" s="1"/>
      <c r="C519" s="157"/>
      <c r="D519" s="157"/>
      <c r="E519" s="157"/>
      <c r="F519" s="157"/>
      <c r="G519" s="157"/>
      <c r="H519" s="157"/>
      <c r="J519" t="str">
        <f t="shared" si="8"/>
        <v/>
      </c>
    </row>
    <row r="520" spans="1:10" x14ac:dyDescent="0.3">
      <c r="A520" s="1"/>
      <c r="B520" s="1"/>
      <c r="C520" s="157"/>
      <c r="D520" s="157"/>
      <c r="E520" s="157"/>
      <c r="F520" s="157"/>
      <c r="G520" s="157"/>
      <c r="H520" s="157"/>
      <c r="J520" t="str">
        <f t="shared" si="8"/>
        <v/>
      </c>
    </row>
    <row r="521" spans="1:10" x14ac:dyDescent="0.3">
      <c r="A521" s="1"/>
      <c r="B521" s="1"/>
      <c r="C521" s="157"/>
      <c r="D521" s="157"/>
      <c r="E521" s="157"/>
      <c r="F521" s="157"/>
      <c r="G521" s="157"/>
      <c r="H521" s="157"/>
      <c r="J521" t="str">
        <f t="shared" si="8"/>
        <v/>
      </c>
    </row>
    <row r="522" spans="1:10" x14ac:dyDescent="0.3">
      <c r="A522" s="1"/>
      <c r="B522" s="1"/>
      <c r="C522" s="157"/>
      <c r="D522" s="157"/>
      <c r="E522" s="157"/>
      <c r="F522" s="157"/>
      <c r="G522" s="157"/>
      <c r="H522" s="157"/>
      <c r="J522" t="str">
        <f t="shared" si="8"/>
        <v/>
      </c>
    </row>
    <row r="523" spans="1:10" x14ac:dyDescent="0.3">
      <c r="A523" s="1"/>
      <c r="B523" s="1"/>
      <c r="C523" s="157"/>
      <c r="D523" s="157"/>
      <c r="E523" s="157"/>
      <c r="F523" s="157"/>
      <c r="G523" s="157"/>
      <c r="H523" s="157"/>
      <c r="J523" t="str">
        <f t="shared" si="8"/>
        <v/>
      </c>
    </row>
    <row r="524" spans="1:10" x14ac:dyDescent="0.3">
      <c r="A524" s="1"/>
      <c r="B524" s="1"/>
      <c r="C524" s="157"/>
      <c r="D524" s="157"/>
      <c r="E524" s="157"/>
      <c r="F524" s="157"/>
      <c r="G524" s="157"/>
      <c r="H524" s="157"/>
      <c r="J524" t="str">
        <f t="shared" si="8"/>
        <v/>
      </c>
    </row>
    <row r="525" spans="1:10" x14ac:dyDescent="0.3">
      <c r="A525" s="1"/>
      <c r="B525" s="1"/>
      <c r="C525" s="157"/>
      <c r="D525" s="157"/>
      <c r="E525" s="157"/>
      <c r="F525" s="157"/>
      <c r="G525" s="157"/>
      <c r="H525" s="157"/>
      <c r="J525" t="str">
        <f t="shared" si="8"/>
        <v/>
      </c>
    </row>
    <row r="526" spans="1:10" x14ac:dyDescent="0.3">
      <c r="A526" s="1"/>
      <c r="B526" s="1"/>
      <c r="C526" s="157"/>
      <c r="D526" s="157"/>
      <c r="E526" s="157"/>
      <c r="F526" s="157"/>
      <c r="G526" s="157"/>
      <c r="H526" s="157"/>
      <c r="J526" t="str">
        <f t="shared" si="8"/>
        <v/>
      </c>
    </row>
    <row r="527" spans="1:10" x14ac:dyDescent="0.3">
      <c r="A527" s="1"/>
      <c r="B527" s="1"/>
      <c r="C527" s="157"/>
      <c r="D527" s="157"/>
      <c r="E527" s="157"/>
      <c r="F527" s="157"/>
      <c r="G527" s="157"/>
      <c r="H527" s="157"/>
      <c r="J527" t="str">
        <f t="shared" si="8"/>
        <v/>
      </c>
    </row>
    <row r="528" spans="1:10" x14ac:dyDescent="0.3">
      <c r="A528" s="1"/>
      <c r="B528" s="1"/>
      <c r="C528" s="157"/>
      <c r="D528" s="157"/>
      <c r="E528" s="157"/>
      <c r="F528" s="157"/>
      <c r="G528" s="157"/>
      <c r="H528" s="157"/>
      <c r="J528" t="str">
        <f t="shared" si="8"/>
        <v/>
      </c>
    </row>
    <row r="529" spans="1:10" x14ac:dyDescent="0.3">
      <c r="A529" s="1"/>
      <c r="B529" s="1"/>
      <c r="C529" s="157"/>
      <c r="D529" s="157"/>
      <c r="E529" s="157"/>
      <c r="F529" s="157"/>
      <c r="G529" s="157"/>
      <c r="H529" s="157"/>
      <c r="J529" t="str">
        <f t="shared" si="8"/>
        <v/>
      </c>
    </row>
    <row r="530" spans="1:10" x14ac:dyDescent="0.3">
      <c r="A530" s="1"/>
      <c r="B530" s="1"/>
      <c r="C530" s="157"/>
      <c r="D530" s="157"/>
      <c r="E530" s="157"/>
      <c r="F530" s="157"/>
      <c r="G530" s="157"/>
      <c r="H530" s="157"/>
      <c r="J530" t="str">
        <f t="shared" si="8"/>
        <v/>
      </c>
    </row>
    <row r="531" spans="1:10" x14ac:dyDescent="0.3">
      <c r="A531" s="1"/>
      <c r="B531" s="1"/>
      <c r="C531" s="157"/>
      <c r="D531" s="157"/>
      <c r="E531" s="157"/>
      <c r="F531" s="157"/>
      <c r="G531" s="157"/>
      <c r="H531" s="157"/>
      <c r="J531" t="str">
        <f t="shared" si="8"/>
        <v/>
      </c>
    </row>
    <row r="532" spans="1:10" x14ac:dyDescent="0.3">
      <c r="A532" s="1"/>
      <c r="B532" s="1"/>
      <c r="C532" s="157"/>
      <c r="D532" s="157"/>
      <c r="E532" s="157"/>
      <c r="F532" s="157"/>
      <c r="G532" s="157"/>
      <c r="H532" s="157"/>
      <c r="J532" t="str">
        <f t="shared" si="8"/>
        <v/>
      </c>
    </row>
    <row r="533" spans="1:10" x14ac:dyDescent="0.3">
      <c r="A533" s="1"/>
      <c r="B533" s="1"/>
      <c r="C533" s="157"/>
      <c r="D533" s="157"/>
      <c r="E533" s="157"/>
      <c r="F533" s="157"/>
      <c r="G533" s="157"/>
      <c r="H533" s="157"/>
      <c r="J533" t="str">
        <f t="shared" si="8"/>
        <v/>
      </c>
    </row>
    <row r="534" spans="1:10" x14ac:dyDescent="0.3">
      <c r="A534" s="1"/>
      <c r="B534" s="1"/>
      <c r="C534" s="157"/>
      <c r="D534" s="157"/>
      <c r="E534" s="157"/>
      <c r="F534" s="157"/>
      <c r="G534" s="157"/>
      <c r="H534" s="157"/>
      <c r="J534" t="str">
        <f t="shared" si="8"/>
        <v/>
      </c>
    </row>
    <row r="535" spans="1:10" x14ac:dyDescent="0.3">
      <c r="A535" s="1"/>
      <c r="B535" s="1"/>
      <c r="C535" s="157"/>
      <c r="D535" s="157"/>
      <c r="E535" s="157"/>
      <c r="F535" s="157"/>
      <c r="G535" s="157"/>
      <c r="H535" s="157"/>
      <c r="J535" t="str">
        <f t="shared" si="8"/>
        <v/>
      </c>
    </row>
    <row r="536" spans="1:10" x14ac:dyDescent="0.3">
      <c r="A536" s="1"/>
      <c r="B536" s="1"/>
      <c r="C536" s="157"/>
      <c r="D536" s="157"/>
      <c r="E536" s="157"/>
      <c r="F536" s="157"/>
      <c r="G536" s="157"/>
      <c r="H536" s="157"/>
      <c r="J536" t="str">
        <f t="shared" si="8"/>
        <v/>
      </c>
    </row>
    <row r="537" spans="1:10" x14ac:dyDescent="0.3">
      <c r="A537" s="1"/>
      <c r="B537" s="1"/>
      <c r="C537" s="157"/>
      <c r="D537" s="157"/>
      <c r="E537" s="157"/>
      <c r="F537" s="157"/>
      <c r="G537" s="157"/>
      <c r="H537" s="157"/>
      <c r="J537" t="str">
        <f t="shared" si="8"/>
        <v/>
      </c>
    </row>
    <row r="538" spans="1:10" x14ac:dyDescent="0.3">
      <c r="A538" s="1"/>
      <c r="B538" s="1"/>
      <c r="C538" s="157"/>
      <c r="D538" s="157"/>
      <c r="E538" s="157"/>
      <c r="F538" s="157"/>
      <c r="G538" s="157"/>
      <c r="H538" s="157"/>
      <c r="J538" t="str">
        <f t="shared" si="8"/>
        <v/>
      </c>
    </row>
    <row r="539" spans="1:10" x14ac:dyDescent="0.3">
      <c r="A539" s="1"/>
      <c r="B539" s="1"/>
      <c r="C539" s="157"/>
      <c r="D539" s="157"/>
      <c r="E539" s="157"/>
      <c r="F539" s="157"/>
      <c r="G539" s="157"/>
      <c r="H539" s="157"/>
      <c r="J539" t="str">
        <f t="shared" si="8"/>
        <v/>
      </c>
    </row>
    <row r="540" spans="1:10" x14ac:dyDescent="0.3">
      <c r="A540" s="1"/>
      <c r="B540" s="1"/>
      <c r="C540" s="157"/>
      <c r="D540" s="157"/>
      <c r="E540" s="157"/>
      <c r="F540" s="157"/>
      <c r="G540" s="157"/>
      <c r="H540" s="157"/>
      <c r="J540" t="str">
        <f t="shared" si="8"/>
        <v/>
      </c>
    </row>
    <row r="541" spans="1:10" x14ac:dyDescent="0.3">
      <c r="A541" s="1"/>
      <c r="B541" s="1"/>
      <c r="C541" s="157"/>
      <c r="D541" s="157"/>
      <c r="E541" s="157"/>
      <c r="F541" s="157"/>
      <c r="G541" s="157"/>
      <c r="H541" s="157"/>
      <c r="J541" t="str">
        <f t="shared" si="8"/>
        <v/>
      </c>
    </row>
    <row r="542" spans="1:10" x14ac:dyDescent="0.3">
      <c r="A542" s="1"/>
      <c r="B542" s="1"/>
      <c r="C542" s="157"/>
      <c r="D542" s="157"/>
      <c r="E542" s="157"/>
      <c r="F542" s="157"/>
      <c r="G542" s="157"/>
      <c r="H542" s="157"/>
      <c r="J542" t="str">
        <f t="shared" si="8"/>
        <v/>
      </c>
    </row>
    <row r="543" spans="1:10" x14ac:dyDescent="0.3">
      <c r="A543" s="1"/>
      <c r="B543" s="1"/>
      <c r="C543" s="157"/>
      <c r="D543" s="157"/>
      <c r="E543" s="157"/>
      <c r="F543" s="157"/>
      <c r="G543" s="157"/>
      <c r="H543" s="157"/>
      <c r="J543" t="str">
        <f t="shared" si="8"/>
        <v/>
      </c>
    </row>
    <row r="544" spans="1:10" x14ac:dyDescent="0.3">
      <c r="A544" s="1"/>
      <c r="B544" s="1"/>
      <c r="C544" s="157"/>
      <c r="D544" s="157"/>
      <c r="E544" s="157"/>
      <c r="F544" s="157"/>
      <c r="G544" s="157"/>
      <c r="H544" s="157"/>
      <c r="J544" t="str">
        <f t="shared" si="8"/>
        <v/>
      </c>
    </row>
    <row r="545" spans="1:10" x14ac:dyDescent="0.3">
      <c r="A545" s="1"/>
      <c r="B545" s="1"/>
      <c r="C545" s="157"/>
      <c r="D545" s="157"/>
      <c r="E545" s="157"/>
      <c r="F545" s="157"/>
      <c r="G545" s="157"/>
      <c r="H545" s="157"/>
      <c r="J545" t="str">
        <f t="shared" si="8"/>
        <v/>
      </c>
    </row>
    <row r="546" spans="1:10" x14ac:dyDescent="0.3">
      <c r="A546" s="1"/>
      <c r="B546" s="1"/>
      <c r="C546" s="157"/>
      <c r="D546" s="157"/>
      <c r="E546" s="157"/>
      <c r="F546" s="157"/>
      <c r="G546" s="157"/>
      <c r="H546" s="157"/>
      <c r="J546" t="str">
        <f t="shared" si="8"/>
        <v/>
      </c>
    </row>
    <row r="547" spans="1:10" x14ac:dyDescent="0.3">
      <c r="A547" s="1"/>
      <c r="B547" s="1"/>
      <c r="C547" s="157"/>
      <c r="D547" s="157"/>
      <c r="E547" s="157"/>
      <c r="F547" s="157"/>
      <c r="G547" s="157"/>
      <c r="H547" s="157"/>
      <c r="J547" t="str">
        <f t="shared" si="8"/>
        <v/>
      </c>
    </row>
    <row r="548" spans="1:10" x14ac:dyDescent="0.3">
      <c r="A548" s="1"/>
      <c r="B548" s="1"/>
      <c r="C548" s="157"/>
      <c r="D548" s="157"/>
      <c r="E548" s="157"/>
      <c r="F548" s="157"/>
      <c r="G548" s="157"/>
      <c r="H548" s="157"/>
      <c r="J548" t="str">
        <f t="shared" si="8"/>
        <v/>
      </c>
    </row>
    <row r="549" spans="1:10" x14ac:dyDescent="0.3">
      <c r="A549" s="1"/>
      <c r="B549" s="1"/>
      <c r="C549" s="157"/>
      <c r="D549" s="157"/>
      <c r="E549" s="157"/>
      <c r="F549" s="157"/>
      <c r="G549" s="157"/>
      <c r="H549" s="157"/>
      <c r="J549" t="str">
        <f t="shared" si="8"/>
        <v/>
      </c>
    </row>
    <row r="550" spans="1:10" x14ac:dyDescent="0.3">
      <c r="A550" s="1"/>
      <c r="B550" s="1"/>
      <c r="C550" s="157"/>
      <c r="D550" s="157"/>
      <c r="E550" s="157"/>
      <c r="F550" s="157"/>
      <c r="G550" s="157"/>
      <c r="H550" s="157"/>
      <c r="J550" t="str">
        <f t="shared" si="8"/>
        <v/>
      </c>
    </row>
    <row r="551" spans="1:10" x14ac:dyDescent="0.3">
      <c r="A551" s="1"/>
      <c r="B551" s="1"/>
      <c r="C551" s="157"/>
      <c r="D551" s="157"/>
      <c r="E551" s="157"/>
      <c r="F551" s="157"/>
      <c r="G551" s="157"/>
      <c r="H551" s="157"/>
      <c r="J551" t="str">
        <f t="shared" si="8"/>
        <v/>
      </c>
    </row>
    <row r="552" spans="1:10" x14ac:dyDescent="0.3">
      <c r="A552" s="1"/>
      <c r="B552" s="1"/>
      <c r="C552" s="157"/>
      <c r="D552" s="157"/>
      <c r="E552" s="157"/>
      <c r="F552" s="157"/>
      <c r="G552" s="157"/>
      <c r="H552" s="157"/>
      <c r="J552" t="str">
        <f t="shared" si="8"/>
        <v/>
      </c>
    </row>
    <row r="553" spans="1:10" x14ac:dyDescent="0.3">
      <c r="A553" s="1"/>
      <c r="B553" s="1"/>
      <c r="C553" s="157"/>
      <c r="D553" s="157"/>
      <c r="E553" s="157"/>
      <c r="F553" s="157"/>
      <c r="G553" s="157"/>
      <c r="H553" s="157"/>
      <c r="J553" t="str">
        <f t="shared" si="8"/>
        <v/>
      </c>
    </row>
    <row r="554" spans="1:10" x14ac:dyDescent="0.3">
      <c r="A554" s="1"/>
      <c r="B554" s="1"/>
      <c r="C554" s="157"/>
      <c r="D554" s="157"/>
      <c r="E554" s="157"/>
      <c r="F554" s="157"/>
      <c r="G554" s="157"/>
      <c r="H554" s="157"/>
      <c r="J554" t="str">
        <f t="shared" si="8"/>
        <v/>
      </c>
    </row>
    <row r="555" spans="1:10" x14ac:dyDescent="0.3">
      <c r="A555" s="1"/>
      <c r="B555" s="1"/>
      <c r="C555" s="157"/>
      <c r="D555" s="157"/>
      <c r="E555" s="157"/>
      <c r="F555" s="157"/>
      <c r="G555" s="157"/>
      <c r="H555" s="157"/>
      <c r="J555" t="str">
        <f t="shared" si="8"/>
        <v/>
      </c>
    </row>
    <row r="556" spans="1:10" x14ac:dyDescent="0.3">
      <c r="A556" s="1"/>
      <c r="B556" s="1"/>
      <c r="C556" s="157"/>
      <c r="D556" s="157"/>
      <c r="E556" s="157"/>
      <c r="F556" s="157"/>
      <c r="G556" s="157"/>
      <c r="H556" s="157"/>
      <c r="J556" t="str">
        <f t="shared" si="8"/>
        <v/>
      </c>
    </row>
    <row r="557" spans="1:10" x14ac:dyDescent="0.3">
      <c r="A557" s="1"/>
      <c r="B557" s="1"/>
      <c r="C557" s="157"/>
      <c r="D557" s="157"/>
      <c r="E557" s="157"/>
      <c r="F557" s="157"/>
      <c r="G557" s="157"/>
      <c r="H557" s="157"/>
      <c r="J557" t="str">
        <f t="shared" si="8"/>
        <v/>
      </c>
    </row>
    <row r="558" spans="1:10" x14ac:dyDescent="0.3">
      <c r="A558" s="1"/>
      <c r="B558" s="1"/>
      <c r="C558" s="157"/>
      <c r="D558" s="157"/>
      <c r="E558" s="157"/>
      <c r="F558" s="157"/>
      <c r="G558" s="157"/>
      <c r="H558" s="157"/>
      <c r="J558" t="str">
        <f t="shared" si="8"/>
        <v/>
      </c>
    </row>
    <row r="559" spans="1:10" x14ac:dyDescent="0.3">
      <c r="A559" s="1"/>
      <c r="B559" s="1"/>
      <c r="C559" s="157"/>
      <c r="D559" s="157"/>
      <c r="E559" s="157"/>
      <c r="F559" s="157"/>
      <c r="G559" s="157"/>
      <c r="H559" s="157"/>
      <c r="J559" t="str">
        <f t="shared" si="8"/>
        <v/>
      </c>
    </row>
    <row r="560" spans="1:10" x14ac:dyDescent="0.3">
      <c r="A560" s="1"/>
      <c r="B560" s="1"/>
      <c r="C560" s="157"/>
      <c r="D560" s="157"/>
      <c r="E560" s="157"/>
      <c r="F560" s="157"/>
      <c r="G560" s="157"/>
      <c r="H560" s="157"/>
      <c r="J560" t="str">
        <f t="shared" si="8"/>
        <v/>
      </c>
    </row>
    <row r="561" spans="1:10" x14ac:dyDescent="0.3">
      <c r="A561" s="1"/>
      <c r="B561" s="1"/>
      <c r="C561" s="157"/>
      <c r="D561" s="157"/>
      <c r="E561" s="157"/>
      <c r="F561" s="157"/>
      <c r="G561" s="157"/>
      <c r="H561" s="157"/>
      <c r="J561" t="str">
        <f t="shared" si="8"/>
        <v/>
      </c>
    </row>
    <row r="562" spans="1:10" x14ac:dyDescent="0.3">
      <c r="A562" s="1"/>
      <c r="B562" s="1"/>
      <c r="C562" s="157"/>
      <c r="D562" s="157"/>
      <c r="E562" s="157"/>
      <c r="F562" s="157"/>
      <c r="G562" s="157"/>
      <c r="H562" s="157"/>
      <c r="J562" t="str">
        <f t="shared" si="8"/>
        <v/>
      </c>
    </row>
    <row r="563" spans="1:10" x14ac:dyDescent="0.3">
      <c r="A563" s="1"/>
      <c r="B563" s="1"/>
      <c r="C563" s="157"/>
      <c r="D563" s="157"/>
      <c r="E563" s="157"/>
      <c r="F563" s="157"/>
      <c r="G563" s="157"/>
      <c r="H563" s="157"/>
      <c r="J563" t="str">
        <f t="shared" si="8"/>
        <v/>
      </c>
    </row>
    <row r="564" spans="1:10" x14ac:dyDescent="0.3">
      <c r="A564" s="1"/>
      <c r="B564" s="1"/>
      <c r="C564" s="157"/>
      <c r="D564" s="157"/>
      <c r="E564" s="157"/>
      <c r="F564" s="157"/>
      <c r="G564" s="157"/>
      <c r="H564" s="157"/>
      <c r="J564" t="str">
        <f t="shared" si="8"/>
        <v/>
      </c>
    </row>
    <row r="565" spans="1:10" x14ac:dyDescent="0.3">
      <c r="A565" s="1"/>
      <c r="B565" s="1"/>
      <c r="C565" s="157"/>
      <c r="D565" s="157"/>
      <c r="E565" s="157"/>
      <c r="F565" s="157"/>
      <c r="G565" s="157"/>
      <c r="H565" s="157"/>
      <c r="J565" t="str">
        <f t="shared" si="8"/>
        <v/>
      </c>
    </row>
    <row r="566" spans="1:10" x14ac:dyDescent="0.3">
      <c r="A566" s="1"/>
      <c r="B566" s="1"/>
      <c r="C566" s="157"/>
      <c r="D566" s="157"/>
      <c r="E566" s="157"/>
      <c r="F566" s="157"/>
      <c r="G566" s="157"/>
      <c r="H566" s="157"/>
      <c r="J566" t="str">
        <f t="shared" si="8"/>
        <v/>
      </c>
    </row>
    <row r="567" spans="1:10" x14ac:dyDescent="0.3">
      <c r="A567" s="1"/>
      <c r="B567" s="1"/>
      <c r="C567" s="157"/>
      <c r="D567" s="157"/>
      <c r="E567" s="157"/>
      <c r="F567" s="157"/>
      <c r="G567" s="157"/>
      <c r="H567" s="157"/>
      <c r="J567" t="str">
        <f t="shared" si="8"/>
        <v/>
      </c>
    </row>
    <row r="568" spans="1:10" x14ac:dyDescent="0.3">
      <c r="A568" s="1"/>
      <c r="B568" s="1"/>
      <c r="C568" s="157"/>
      <c r="D568" s="157"/>
      <c r="E568" s="157"/>
      <c r="F568" s="157"/>
      <c r="G568" s="157"/>
      <c r="H568" s="157"/>
      <c r="J568" t="str">
        <f t="shared" si="8"/>
        <v/>
      </c>
    </row>
    <row r="569" spans="1:10" x14ac:dyDescent="0.3">
      <c r="A569" s="1"/>
      <c r="B569" s="1"/>
      <c r="C569" s="157"/>
      <c r="D569" s="157"/>
      <c r="E569" s="157"/>
      <c r="F569" s="157"/>
      <c r="G569" s="157"/>
      <c r="H569" s="157"/>
      <c r="J569" t="str">
        <f t="shared" si="8"/>
        <v/>
      </c>
    </row>
    <row r="570" spans="1:10" x14ac:dyDescent="0.3">
      <c r="A570" s="1"/>
      <c r="B570" s="1"/>
      <c r="C570" s="157"/>
      <c r="D570" s="157"/>
      <c r="E570" s="157"/>
      <c r="F570" s="157"/>
      <c r="G570" s="157"/>
      <c r="H570" s="157"/>
      <c r="J570" t="str">
        <f t="shared" si="8"/>
        <v/>
      </c>
    </row>
    <row r="571" spans="1:10" x14ac:dyDescent="0.3">
      <c r="A571" s="1"/>
      <c r="B571" s="1"/>
      <c r="C571" s="157"/>
      <c r="D571" s="157"/>
      <c r="E571" s="157"/>
      <c r="F571" s="157"/>
      <c r="G571" s="157"/>
      <c r="H571" s="157"/>
      <c r="J571" t="str">
        <f t="shared" si="8"/>
        <v/>
      </c>
    </row>
    <row r="572" spans="1:10" x14ac:dyDescent="0.3">
      <c r="A572" s="1"/>
      <c r="B572" s="1"/>
      <c r="C572" s="157"/>
      <c r="D572" s="157"/>
      <c r="E572" s="157"/>
      <c r="F572" s="157"/>
      <c r="G572" s="157"/>
      <c r="H572" s="157"/>
      <c r="J572" t="str">
        <f t="shared" si="8"/>
        <v/>
      </c>
    </row>
    <row r="573" spans="1:10" x14ac:dyDescent="0.3">
      <c r="A573" s="1"/>
      <c r="B573" s="1"/>
      <c r="C573" s="157"/>
      <c r="D573" s="157"/>
      <c r="E573" s="157"/>
      <c r="F573" s="157"/>
      <c r="G573" s="157"/>
      <c r="H573" s="157"/>
      <c r="J573" t="str">
        <f t="shared" si="8"/>
        <v/>
      </c>
    </row>
    <row r="574" spans="1:10" x14ac:dyDescent="0.3">
      <c r="A574" s="1"/>
      <c r="B574" s="1"/>
      <c r="C574" s="157"/>
      <c r="D574" s="157"/>
      <c r="E574" s="157"/>
      <c r="F574" s="157"/>
      <c r="G574" s="157"/>
      <c r="H574" s="157"/>
      <c r="J574" t="str">
        <f t="shared" si="8"/>
        <v/>
      </c>
    </row>
    <row r="575" spans="1:10" x14ac:dyDescent="0.3">
      <c r="A575" s="1"/>
      <c r="B575" s="1"/>
      <c r="C575" s="157"/>
      <c r="D575" s="157"/>
      <c r="E575" s="157"/>
      <c r="F575" s="157"/>
      <c r="G575" s="157"/>
      <c r="H575" s="157"/>
      <c r="J575" t="str">
        <f t="shared" si="8"/>
        <v/>
      </c>
    </row>
    <row r="576" spans="1:10" x14ac:dyDescent="0.3">
      <c r="A576" s="1"/>
      <c r="B576" s="1"/>
      <c r="C576" s="157"/>
      <c r="D576" s="157"/>
      <c r="E576" s="157"/>
      <c r="F576" s="157"/>
      <c r="G576" s="157"/>
      <c r="H576" s="157"/>
      <c r="J576" t="str">
        <f t="shared" si="8"/>
        <v/>
      </c>
    </row>
    <row r="577" spans="1:10" x14ac:dyDescent="0.3">
      <c r="A577" s="1"/>
      <c r="B577" s="1"/>
      <c r="C577" s="157"/>
      <c r="D577" s="157"/>
      <c r="E577" s="157"/>
      <c r="F577" s="157"/>
      <c r="G577" s="157"/>
      <c r="H577" s="157"/>
      <c r="J577" t="str">
        <f t="shared" si="8"/>
        <v/>
      </c>
    </row>
    <row r="578" spans="1:10" x14ac:dyDescent="0.3">
      <c r="A578" s="1"/>
      <c r="B578" s="1"/>
      <c r="C578" s="157"/>
      <c r="D578" s="157"/>
      <c r="E578" s="157"/>
      <c r="F578" s="157"/>
      <c r="G578" s="157"/>
      <c r="H578" s="157"/>
      <c r="J578" t="str">
        <f t="shared" ref="J578:J641" si="9">IF(B578 &lt;&gt; "",(IF(C578&lt;&gt;"",CONCATENATE(A578, " ", B578,"  - ",C578,IF(D578&lt;&gt;"","/",""),D578),CONCATENATE(A578, " ",B578,IF(D578&lt;&gt;"","  - ",""),D578))),"")</f>
        <v/>
      </c>
    </row>
    <row r="579" spans="1:10" x14ac:dyDescent="0.3">
      <c r="A579" s="1"/>
      <c r="B579" s="1"/>
      <c r="C579" s="157"/>
      <c r="D579" s="157"/>
      <c r="E579" s="157"/>
      <c r="F579" s="157"/>
      <c r="G579" s="157"/>
      <c r="H579" s="157"/>
      <c r="J579" t="str">
        <f t="shared" si="9"/>
        <v/>
      </c>
    </row>
    <row r="580" spans="1:10" x14ac:dyDescent="0.3">
      <c r="A580" s="1"/>
      <c r="B580" s="1"/>
      <c r="C580" s="157"/>
      <c r="D580" s="157"/>
      <c r="E580" s="157"/>
      <c r="F580" s="157"/>
      <c r="G580" s="157"/>
      <c r="H580" s="157"/>
      <c r="J580" t="str">
        <f t="shared" si="9"/>
        <v/>
      </c>
    </row>
    <row r="581" spans="1:10" x14ac:dyDescent="0.3">
      <c r="A581" s="1"/>
      <c r="B581" s="1"/>
      <c r="C581" s="157"/>
      <c r="D581" s="157"/>
      <c r="E581" s="157"/>
      <c r="F581" s="157"/>
      <c r="G581" s="157"/>
      <c r="H581" s="157"/>
      <c r="J581" t="str">
        <f t="shared" si="9"/>
        <v/>
      </c>
    </row>
    <row r="582" spans="1:10" x14ac:dyDescent="0.3">
      <c r="A582" s="1"/>
      <c r="B582" s="1"/>
      <c r="C582" s="157"/>
      <c r="D582" s="157"/>
      <c r="E582" s="157"/>
      <c r="F582" s="157"/>
      <c r="G582" s="157"/>
      <c r="H582" s="157"/>
      <c r="J582" t="str">
        <f t="shared" si="9"/>
        <v/>
      </c>
    </row>
    <row r="583" spans="1:10" x14ac:dyDescent="0.3">
      <c r="A583" s="1"/>
      <c r="B583" s="1"/>
      <c r="C583" s="157"/>
      <c r="D583" s="157"/>
      <c r="E583" s="157"/>
      <c r="F583" s="157"/>
      <c r="G583" s="157"/>
      <c r="H583" s="157"/>
      <c r="J583" t="str">
        <f t="shared" si="9"/>
        <v/>
      </c>
    </row>
    <row r="584" spans="1:10" x14ac:dyDescent="0.3">
      <c r="A584" s="1"/>
      <c r="B584" s="1"/>
      <c r="C584" s="157"/>
      <c r="D584" s="157"/>
      <c r="E584" s="157"/>
      <c r="F584" s="157"/>
      <c r="G584" s="157"/>
      <c r="H584" s="157"/>
      <c r="J584" t="str">
        <f t="shared" si="9"/>
        <v/>
      </c>
    </row>
    <row r="585" spans="1:10" x14ac:dyDescent="0.3">
      <c r="A585" s="1"/>
      <c r="B585" s="1"/>
      <c r="C585" s="157"/>
      <c r="D585" s="157"/>
      <c r="E585" s="157"/>
      <c r="F585" s="157"/>
      <c r="G585" s="157"/>
      <c r="H585" s="157"/>
      <c r="J585" t="str">
        <f t="shared" si="9"/>
        <v/>
      </c>
    </row>
    <row r="586" spans="1:10" x14ac:dyDescent="0.3">
      <c r="A586" s="1"/>
      <c r="B586" s="1"/>
      <c r="C586" s="157"/>
      <c r="D586" s="157"/>
      <c r="E586" s="157"/>
      <c r="F586" s="157"/>
      <c r="G586" s="157"/>
      <c r="H586" s="157"/>
      <c r="J586" t="str">
        <f t="shared" si="9"/>
        <v/>
      </c>
    </row>
    <row r="587" spans="1:10" x14ac:dyDescent="0.3">
      <c r="A587" s="1"/>
      <c r="B587" s="1"/>
      <c r="C587" s="157"/>
      <c r="D587" s="157"/>
      <c r="E587" s="157"/>
      <c r="F587" s="157"/>
      <c r="G587" s="157"/>
      <c r="H587" s="157"/>
      <c r="J587" t="str">
        <f t="shared" si="9"/>
        <v/>
      </c>
    </row>
    <row r="588" spans="1:10" x14ac:dyDescent="0.3">
      <c r="A588" s="1"/>
      <c r="B588" s="1"/>
      <c r="C588" s="157"/>
      <c r="D588" s="157"/>
      <c r="E588" s="157"/>
      <c r="F588" s="157"/>
      <c r="G588" s="157"/>
      <c r="H588" s="157"/>
      <c r="J588" t="str">
        <f t="shared" si="9"/>
        <v/>
      </c>
    </row>
    <row r="589" spans="1:10" x14ac:dyDescent="0.3">
      <c r="A589" s="1"/>
      <c r="B589" s="1"/>
      <c r="C589" s="157"/>
      <c r="D589" s="157"/>
      <c r="E589" s="157"/>
      <c r="F589" s="157"/>
      <c r="G589" s="157"/>
      <c r="H589" s="157"/>
      <c r="J589" t="str">
        <f t="shared" si="9"/>
        <v/>
      </c>
    </row>
    <row r="590" spans="1:10" x14ac:dyDescent="0.3">
      <c r="A590" s="1"/>
      <c r="B590" s="1"/>
      <c r="C590" s="157"/>
      <c r="D590" s="157"/>
      <c r="E590" s="157"/>
      <c r="F590" s="157"/>
      <c r="G590" s="157"/>
      <c r="H590" s="157"/>
      <c r="J590" t="str">
        <f t="shared" si="9"/>
        <v/>
      </c>
    </row>
    <row r="591" spans="1:10" x14ac:dyDescent="0.3">
      <c r="A591" s="1"/>
      <c r="B591" s="1"/>
      <c r="C591" s="157"/>
      <c r="D591" s="157"/>
      <c r="E591" s="157"/>
      <c r="F591" s="157"/>
      <c r="G591" s="157"/>
      <c r="H591" s="157"/>
      <c r="J591" t="str">
        <f t="shared" si="9"/>
        <v/>
      </c>
    </row>
    <row r="592" spans="1:10" x14ac:dyDescent="0.3">
      <c r="A592" s="1"/>
      <c r="B592" s="1"/>
      <c r="C592" s="157"/>
      <c r="D592" s="157"/>
      <c r="E592" s="157"/>
      <c r="F592" s="157"/>
      <c r="G592" s="157"/>
      <c r="H592" s="157"/>
      <c r="J592" t="str">
        <f t="shared" si="9"/>
        <v/>
      </c>
    </row>
    <row r="593" spans="1:10" x14ac:dyDescent="0.3">
      <c r="A593" s="1"/>
      <c r="B593" s="1"/>
      <c r="C593" s="157"/>
      <c r="D593" s="157"/>
      <c r="E593" s="157"/>
      <c r="F593" s="157"/>
      <c r="G593" s="157"/>
      <c r="H593" s="157"/>
      <c r="J593" t="str">
        <f t="shared" si="9"/>
        <v/>
      </c>
    </row>
    <row r="594" spans="1:10" x14ac:dyDescent="0.3">
      <c r="A594" s="1"/>
      <c r="B594" s="1"/>
      <c r="C594" s="157"/>
      <c r="D594" s="157"/>
      <c r="E594" s="157"/>
      <c r="F594" s="157"/>
      <c r="G594" s="157"/>
      <c r="H594" s="157"/>
      <c r="J594" t="str">
        <f t="shared" si="9"/>
        <v/>
      </c>
    </row>
    <row r="595" spans="1:10" x14ac:dyDescent="0.3">
      <c r="A595" s="1"/>
      <c r="B595" s="1"/>
      <c r="C595" s="157"/>
      <c r="D595" s="157"/>
      <c r="E595" s="157"/>
      <c r="F595" s="157"/>
      <c r="G595" s="157"/>
      <c r="H595" s="157"/>
      <c r="J595" t="str">
        <f t="shared" si="9"/>
        <v/>
      </c>
    </row>
    <row r="596" spans="1:10" x14ac:dyDescent="0.3">
      <c r="A596" s="1"/>
      <c r="B596" s="1"/>
      <c r="C596" s="157"/>
      <c r="D596" s="157"/>
      <c r="E596" s="157"/>
      <c r="F596" s="157"/>
      <c r="G596" s="157"/>
      <c r="H596" s="157"/>
      <c r="J596" t="str">
        <f t="shared" si="9"/>
        <v/>
      </c>
    </row>
    <row r="597" spans="1:10" x14ac:dyDescent="0.3">
      <c r="A597" s="1"/>
      <c r="B597" s="1"/>
      <c r="C597" s="157"/>
      <c r="D597" s="157"/>
      <c r="E597" s="157"/>
      <c r="F597" s="157"/>
      <c r="G597" s="157"/>
      <c r="H597" s="157"/>
      <c r="J597" t="str">
        <f t="shared" si="9"/>
        <v/>
      </c>
    </row>
    <row r="598" spans="1:10" x14ac:dyDescent="0.3">
      <c r="A598" s="1"/>
      <c r="B598" s="1"/>
      <c r="C598" s="157"/>
      <c r="D598" s="157"/>
      <c r="E598" s="157"/>
      <c r="F598" s="157"/>
      <c r="G598" s="157"/>
      <c r="H598" s="157"/>
      <c r="J598" t="str">
        <f t="shared" si="9"/>
        <v/>
      </c>
    </row>
    <row r="599" spans="1:10" x14ac:dyDescent="0.3">
      <c r="A599" s="1"/>
      <c r="B599" s="1"/>
      <c r="C599" s="157"/>
      <c r="D599" s="157"/>
      <c r="E599" s="157"/>
      <c r="F599" s="157"/>
      <c r="G599" s="157"/>
      <c r="H599" s="157"/>
      <c r="J599" t="str">
        <f t="shared" si="9"/>
        <v/>
      </c>
    </row>
    <row r="600" spans="1:10" x14ac:dyDescent="0.3">
      <c r="A600" s="1"/>
      <c r="B600" s="1"/>
      <c r="C600" s="157"/>
      <c r="D600" s="157"/>
      <c r="E600" s="157"/>
      <c r="F600" s="157"/>
      <c r="G600" s="157"/>
      <c r="H600" s="157"/>
      <c r="J600" t="str">
        <f t="shared" si="9"/>
        <v/>
      </c>
    </row>
    <row r="601" spans="1:10" x14ac:dyDescent="0.3">
      <c r="A601" s="1"/>
      <c r="B601" s="1"/>
      <c r="C601" s="157"/>
      <c r="D601" s="157"/>
      <c r="E601" s="157"/>
      <c r="F601" s="157"/>
      <c r="G601" s="157"/>
      <c r="H601" s="157"/>
      <c r="J601" t="str">
        <f t="shared" si="9"/>
        <v/>
      </c>
    </row>
    <row r="602" spans="1:10" x14ac:dyDescent="0.3">
      <c r="A602" s="1"/>
      <c r="B602" s="1"/>
      <c r="C602" s="157"/>
      <c r="D602" s="157"/>
      <c r="E602" s="157"/>
      <c r="F602" s="157"/>
      <c r="G602" s="157"/>
      <c r="H602" s="157"/>
      <c r="J602" t="str">
        <f t="shared" si="9"/>
        <v/>
      </c>
    </row>
    <row r="603" spans="1:10" x14ac:dyDescent="0.3">
      <c r="A603" s="1"/>
      <c r="B603" s="1"/>
      <c r="C603" s="157"/>
      <c r="D603" s="157"/>
      <c r="E603" s="157"/>
      <c r="F603" s="157"/>
      <c r="G603" s="157"/>
      <c r="H603" s="157"/>
      <c r="J603" t="str">
        <f t="shared" si="9"/>
        <v/>
      </c>
    </row>
    <row r="604" spans="1:10" x14ac:dyDescent="0.3">
      <c r="A604" s="1"/>
      <c r="B604" s="1"/>
      <c r="C604" s="157"/>
      <c r="D604" s="157"/>
      <c r="E604" s="157"/>
      <c r="F604" s="157"/>
      <c r="G604" s="157"/>
      <c r="H604" s="157"/>
      <c r="J604" t="str">
        <f t="shared" si="9"/>
        <v/>
      </c>
    </row>
    <row r="605" spans="1:10" x14ac:dyDescent="0.3">
      <c r="A605" s="1"/>
      <c r="B605" s="1"/>
      <c r="C605" s="157"/>
      <c r="D605" s="157"/>
      <c r="E605" s="157"/>
      <c r="F605" s="157"/>
      <c r="G605" s="157"/>
      <c r="H605" s="157"/>
      <c r="J605" t="str">
        <f t="shared" si="9"/>
        <v/>
      </c>
    </row>
    <row r="606" spans="1:10" x14ac:dyDescent="0.3">
      <c r="A606" s="1"/>
      <c r="B606" s="1"/>
      <c r="C606" s="157"/>
      <c r="D606" s="157"/>
      <c r="E606" s="157"/>
      <c r="F606" s="157"/>
      <c r="G606" s="157"/>
      <c r="H606" s="157"/>
      <c r="J606" t="str">
        <f t="shared" si="9"/>
        <v/>
      </c>
    </row>
    <row r="607" spans="1:10" x14ac:dyDescent="0.3">
      <c r="A607" s="1"/>
      <c r="B607" s="1"/>
      <c r="C607" s="157"/>
      <c r="D607" s="157"/>
      <c r="E607" s="157"/>
      <c r="F607" s="157"/>
      <c r="G607" s="157"/>
      <c r="H607" s="157"/>
      <c r="J607" t="str">
        <f t="shared" si="9"/>
        <v/>
      </c>
    </row>
    <row r="608" spans="1:10" x14ac:dyDescent="0.3">
      <c r="A608" s="1"/>
      <c r="B608" s="1"/>
      <c r="C608" s="157"/>
      <c r="D608" s="157"/>
      <c r="E608" s="157"/>
      <c r="F608" s="157"/>
      <c r="G608" s="157"/>
      <c r="H608" s="157"/>
      <c r="J608" t="str">
        <f t="shared" si="9"/>
        <v/>
      </c>
    </row>
    <row r="609" spans="1:10" x14ac:dyDescent="0.3">
      <c r="A609" s="1"/>
      <c r="B609" s="1"/>
      <c r="C609" s="157"/>
      <c r="D609" s="157"/>
      <c r="E609" s="157"/>
      <c r="F609" s="157"/>
      <c r="G609" s="157"/>
      <c r="H609" s="157"/>
      <c r="J609" t="str">
        <f t="shared" si="9"/>
        <v/>
      </c>
    </row>
    <row r="610" spans="1:10" x14ac:dyDescent="0.3">
      <c r="A610" s="1"/>
      <c r="B610" s="1"/>
      <c r="C610" s="157"/>
      <c r="D610" s="157"/>
      <c r="E610" s="157"/>
      <c r="F610" s="157"/>
      <c r="G610" s="157"/>
      <c r="H610" s="157"/>
      <c r="J610" t="str">
        <f t="shared" si="9"/>
        <v/>
      </c>
    </row>
    <row r="611" spans="1:10" x14ac:dyDescent="0.3">
      <c r="A611" s="1"/>
      <c r="B611" s="1"/>
      <c r="C611" s="157"/>
      <c r="D611" s="157"/>
      <c r="E611" s="157"/>
      <c r="F611" s="157"/>
      <c r="G611" s="157"/>
      <c r="H611" s="157"/>
      <c r="J611" t="str">
        <f t="shared" si="9"/>
        <v/>
      </c>
    </row>
    <row r="612" spans="1:10" x14ac:dyDescent="0.3">
      <c r="A612" s="1"/>
      <c r="B612" s="1"/>
      <c r="C612" s="157"/>
      <c r="D612" s="157"/>
      <c r="E612" s="157"/>
      <c r="F612" s="157"/>
      <c r="G612" s="157"/>
      <c r="H612" s="157"/>
      <c r="J612" t="str">
        <f t="shared" si="9"/>
        <v/>
      </c>
    </row>
    <row r="613" spans="1:10" x14ac:dyDescent="0.3">
      <c r="A613" s="1"/>
      <c r="B613" s="1"/>
      <c r="C613" s="157"/>
      <c r="D613" s="157"/>
      <c r="E613" s="157"/>
      <c r="F613" s="157"/>
      <c r="G613" s="157"/>
      <c r="H613" s="157"/>
      <c r="J613" t="str">
        <f t="shared" si="9"/>
        <v/>
      </c>
    </row>
    <row r="614" spans="1:10" x14ac:dyDescent="0.3">
      <c r="A614" s="1"/>
      <c r="B614" s="1"/>
      <c r="C614" s="157"/>
      <c r="D614" s="157"/>
      <c r="E614" s="157"/>
      <c r="F614" s="157"/>
      <c r="G614" s="157"/>
      <c r="H614" s="157"/>
      <c r="J614" t="str">
        <f t="shared" si="9"/>
        <v/>
      </c>
    </row>
    <row r="615" spans="1:10" x14ac:dyDescent="0.3">
      <c r="A615" s="1"/>
      <c r="B615" s="1"/>
      <c r="C615" s="157"/>
      <c r="D615" s="157"/>
      <c r="E615" s="157"/>
      <c r="F615" s="157"/>
      <c r="G615" s="157"/>
      <c r="H615" s="157"/>
      <c r="J615" t="str">
        <f t="shared" si="9"/>
        <v/>
      </c>
    </row>
    <row r="616" spans="1:10" x14ac:dyDescent="0.3">
      <c r="A616" s="1"/>
      <c r="B616" s="1"/>
      <c r="C616" s="157"/>
      <c r="D616" s="157"/>
      <c r="E616" s="157"/>
      <c r="F616" s="157"/>
      <c r="G616" s="157"/>
      <c r="H616" s="157"/>
      <c r="J616" t="str">
        <f t="shared" si="9"/>
        <v/>
      </c>
    </row>
    <row r="617" spans="1:10" x14ac:dyDescent="0.3">
      <c r="A617" s="1"/>
      <c r="B617" s="1"/>
      <c r="C617" s="157"/>
      <c r="D617" s="157"/>
      <c r="E617" s="157"/>
      <c r="F617" s="157"/>
      <c r="G617" s="157"/>
      <c r="H617" s="157"/>
      <c r="J617" t="str">
        <f t="shared" si="9"/>
        <v/>
      </c>
    </row>
    <row r="618" spans="1:10" x14ac:dyDescent="0.3">
      <c r="A618" s="1"/>
      <c r="B618" s="1"/>
      <c r="C618" s="157"/>
      <c r="D618" s="157"/>
      <c r="E618" s="157"/>
      <c r="F618" s="157"/>
      <c r="G618" s="157"/>
      <c r="H618" s="157"/>
      <c r="J618" t="str">
        <f t="shared" si="9"/>
        <v/>
      </c>
    </row>
    <row r="619" spans="1:10" x14ac:dyDescent="0.3">
      <c r="A619" s="1"/>
      <c r="B619" s="1"/>
      <c r="C619" s="157"/>
      <c r="D619" s="157"/>
      <c r="E619" s="157"/>
      <c r="F619" s="157"/>
      <c r="G619" s="157"/>
      <c r="H619" s="157"/>
      <c r="J619" t="str">
        <f t="shared" si="9"/>
        <v/>
      </c>
    </row>
    <row r="620" spans="1:10" x14ac:dyDescent="0.3">
      <c r="A620" s="1"/>
      <c r="B620" s="1"/>
      <c r="C620" s="157"/>
      <c r="D620" s="157"/>
      <c r="E620" s="157"/>
      <c r="F620" s="157"/>
      <c r="G620" s="157"/>
      <c r="H620" s="157"/>
      <c r="J620" t="str">
        <f t="shared" si="9"/>
        <v/>
      </c>
    </row>
    <row r="621" spans="1:10" x14ac:dyDescent="0.3">
      <c r="A621" s="1"/>
      <c r="B621" s="1"/>
      <c r="C621" s="157"/>
      <c r="D621" s="157"/>
      <c r="E621" s="157"/>
      <c r="F621" s="157"/>
      <c r="G621" s="157"/>
      <c r="H621" s="157"/>
      <c r="J621" t="str">
        <f t="shared" si="9"/>
        <v/>
      </c>
    </row>
    <row r="622" spans="1:10" x14ac:dyDescent="0.3">
      <c r="A622" s="1"/>
      <c r="B622" s="1"/>
      <c r="C622" s="157"/>
      <c r="D622" s="157"/>
      <c r="E622" s="157"/>
      <c r="F622" s="157"/>
      <c r="G622" s="157"/>
      <c r="H622" s="157"/>
      <c r="J622" t="str">
        <f t="shared" si="9"/>
        <v/>
      </c>
    </row>
    <row r="623" spans="1:10" x14ac:dyDescent="0.3">
      <c r="A623" s="1"/>
      <c r="B623" s="1"/>
      <c r="C623" s="157"/>
      <c r="D623" s="157"/>
      <c r="E623" s="157"/>
      <c r="F623" s="157"/>
      <c r="G623" s="157"/>
      <c r="H623" s="157"/>
      <c r="J623" t="str">
        <f t="shared" si="9"/>
        <v/>
      </c>
    </row>
    <row r="624" spans="1:10" x14ac:dyDescent="0.3">
      <c r="A624" s="1"/>
      <c r="B624" s="1"/>
      <c r="C624" s="157"/>
      <c r="D624" s="157"/>
      <c r="E624" s="157"/>
      <c r="F624" s="157"/>
      <c r="G624" s="157"/>
      <c r="H624" s="157"/>
      <c r="J624" t="str">
        <f t="shared" si="9"/>
        <v/>
      </c>
    </row>
    <row r="625" spans="1:10" x14ac:dyDescent="0.3">
      <c r="A625" s="1"/>
      <c r="B625" s="1"/>
      <c r="C625" s="157"/>
      <c r="D625" s="157"/>
      <c r="E625" s="157"/>
      <c r="F625" s="157"/>
      <c r="G625" s="157"/>
      <c r="H625" s="157"/>
      <c r="J625" t="str">
        <f t="shared" si="9"/>
        <v/>
      </c>
    </row>
    <row r="626" spans="1:10" x14ac:dyDescent="0.3">
      <c r="A626" s="1"/>
      <c r="B626" s="1"/>
      <c r="C626" s="157"/>
      <c r="D626" s="157"/>
      <c r="E626" s="157"/>
      <c r="F626" s="157"/>
      <c r="G626" s="157"/>
      <c r="H626" s="157"/>
      <c r="J626" t="str">
        <f t="shared" si="9"/>
        <v/>
      </c>
    </row>
    <row r="627" spans="1:10" x14ac:dyDescent="0.3">
      <c r="A627" s="1"/>
      <c r="B627" s="1"/>
      <c r="C627" s="157"/>
      <c r="D627" s="157"/>
      <c r="E627" s="157"/>
      <c r="F627" s="157"/>
      <c r="G627" s="157"/>
      <c r="H627" s="157"/>
      <c r="J627" t="str">
        <f t="shared" si="9"/>
        <v/>
      </c>
    </row>
    <row r="628" spans="1:10" x14ac:dyDescent="0.3">
      <c r="A628" s="1"/>
      <c r="B628" s="1"/>
      <c r="C628" s="157"/>
      <c r="D628" s="157"/>
      <c r="E628" s="157"/>
      <c r="F628" s="157"/>
      <c r="G628" s="157"/>
      <c r="H628" s="157"/>
      <c r="J628" t="str">
        <f t="shared" si="9"/>
        <v/>
      </c>
    </row>
    <row r="629" spans="1:10" x14ac:dyDescent="0.3">
      <c r="A629" s="1"/>
      <c r="B629" s="1"/>
      <c r="C629" s="157"/>
      <c r="D629" s="157"/>
      <c r="E629" s="157"/>
      <c r="F629" s="157"/>
      <c r="G629" s="157"/>
      <c r="H629" s="157"/>
      <c r="J629" t="str">
        <f t="shared" si="9"/>
        <v/>
      </c>
    </row>
    <row r="630" spans="1:10" x14ac:dyDescent="0.3">
      <c r="A630" s="1"/>
      <c r="B630" s="1"/>
      <c r="C630" s="157"/>
      <c r="D630" s="157"/>
      <c r="E630" s="157"/>
      <c r="F630" s="157"/>
      <c r="G630" s="157"/>
      <c r="H630" s="157"/>
      <c r="J630" t="str">
        <f t="shared" si="9"/>
        <v/>
      </c>
    </row>
    <row r="631" spans="1:10" x14ac:dyDescent="0.3">
      <c r="A631" s="1"/>
      <c r="B631" s="1"/>
      <c r="C631" s="157"/>
      <c r="D631" s="157"/>
      <c r="E631" s="157"/>
      <c r="F631" s="157"/>
      <c r="G631" s="157"/>
      <c r="H631" s="157"/>
      <c r="J631" t="str">
        <f t="shared" si="9"/>
        <v/>
      </c>
    </row>
    <row r="632" spans="1:10" x14ac:dyDescent="0.3">
      <c r="A632" s="1"/>
      <c r="B632" s="1"/>
      <c r="C632" s="157"/>
      <c r="D632" s="157"/>
      <c r="E632" s="157"/>
      <c r="F632" s="157"/>
      <c r="G632" s="157"/>
      <c r="H632" s="157"/>
      <c r="J632" t="str">
        <f t="shared" si="9"/>
        <v/>
      </c>
    </row>
    <row r="633" spans="1:10" x14ac:dyDescent="0.3">
      <c r="A633" s="1"/>
      <c r="B633" s="1"/>
      <c r="C633" s="157"/>
      <c r="D633" s="157"/>
      <c r="E633" s="157"/>
      <c r="F633" s="157"/>
      <c r="G633" s="157"/>
      <c r="H633" s="157"/>
      <c r="J633" t="str">
        <f t="shared" si="9"/>
        <v/>
      </c>
    </row>
    <row r="634" spans="1:10" x14ac:dyDescent="0.3">
      <c r="A634" s="1"/>
      <c r="B634" s="1"/>
      <c r="C634" s="157"/>
      <c r="D634" s="157"/>
      <c r="E634" s="157"/>
      <c r="F634" s="157"/>
      <c r="G634" s="157"/>
      <c r="H634" s="157"/>
      <c r="J634" t="str">
        <f t="shared" si="9"/>
        <v/>
      </c>
    </row>
    <row r="635" spans="1:10" x14ac:dyDescent="0.3">
      <c r="A635" s="1"/>
      <c r="B635" s="1"/>
      <c r="C635" s="157"/>
      <c r="D635" s="157"/>
      <c r="E635" s="157"/>
      <c r="F635" s="157"/>
      <c r="G635" s="157"/>
      <c r="H635" s="157"/>
      <c r="J635" t="str">
        <f t="shared" si="9"/>
        <v/>
      </c>
    </row>
    <row r="636" spans="1:10" x14ac:dyDescent="0.3">
      <c r="A636" s="1"/>
      <c r="B636" s="1"/>
      <c r="C636" s="157"/>
      <c r="D636" s="157"/>
      <c r="E636" s="157"/>
      <c r="F636" s="157"/>
      <c r="G636" s="157"/>
      <c r="H636" s="157"/>
      <c r="J636" t="str">
        <f t="shared" si="9"/>
        <v/>
      </c>
    </row>
    <row r="637" spans="1:10" x14ac:dyDescent="0.3">
      <c r="A637" s="1"/>
      <c r="B637" s="1"/>
      <c r="C637" s="157"/>
      <c r="D637" s="157"/>
      <c r="E637" s="157"/>
      <c r="F637" s="157"/>
      <c r="G637" s="157"/>
      <c r="H637" s="157"/>
      <c r="J637" t="str">
        <f t="shared" si="9"/>
        <v/>
      </c>
    </row>
    <row r="638" spans="1:10" x14ac:dyDescent="0.3">
      <c r="A638" s="1"/>
      <c r="B638" s="1"/>
      <c r="C638" s="157"/>
      <c r="D638" s="157"/>
      <c r="E638" s="157"/>
      <c r="F638" s="157"/>
      <c r="G638" s="157"/>
      <c r="H638" s="157"/>
      <c r="J638" t="str">
        <f t="shared" si="9"/>
        <v/>
      </c>
    </row>
    <row r="639" spans="1:10" x14ac:dyDescent="0.3">
      <c r="A639" s="1"/>
      <c r="B639" s="1"/>
      <c r="C639" s="157"/>
      <c r="D639" s="157"/>
      <c r="E639" s="157"/>
      <c r="F639" s="157"/>
      <c r="G639" s="157"/>
      <c r="H639" s="157"/>
      <c r="J639" t="str">
        <f t="shared" si="9"/>
        <v/>
      </c>
    </row>
    <row r="640" spans="1:10" x14ac:dyDescent="0.3">
      <c r="A640" s="1"/>
      <c r="B640" s="1"/>
      <c r="C640" s="157"/>
      <c r="D640" s="157"/>
      <c r="E640" s="157"/>
      <c r="F640" s="157"/>
      <c r="G640" s="157"/>
      <c r="H640" s="157"/>
      <c r="J640" t="str">
        <f t="shared" si="9"/>
        <v/>
      </c>
    </row>
    <row r="641" spans="1:10" x14ac:dyDescent="0.3">
      <c r="A641" s="1"/>
      <c r="B641" s="1"/>
      <c r="C641" s="157"/>
      <c r="D641" s="157"/>
      <c r="E641" s="157"/>
      <c r="F641" s="157"/>
      <c r="G641" s="157"/>
      <c r="H641" s="157"/>
      <c r="J641" t="str">
        <f t="shared" si="9"/>
        <v/>
      </c>
    </row>
    <row r="642" spans="1:10" x14ac:dyDescent="0.3">
      <c r="A642" s="1"/>
      <c r="B642" s="1"/>
      <c r="C642" s="157"/>
      <c r="D642" s="157"/>
      <c r="E642" s="157"/>
      <c r="F642" s="157"/>
      <c r="G642" s="157"/>
      <c r="H642" s="157"/>
      <c r="J642" t="str">
        <f t="shared" ref="J642:J705" si="10">IF(B642 &lt;&gt; "",(IF(C642&lt;&gt;"",CONCATENATE(A642, " ", B642,"  - ",C642,IF(D642&lt;&gt;"","/",""),D642),CONCATENATE(A642, " ",B642,IF(D642&lt;&gt;"","  - ",""),D642))),"")</f>
        <v/>
      </c>
    </row>
    <row r="643" spans="1:10" x14ac:dyDescent="0.3">
      <c r="A643" s="1"/>
      <c r="B643" s="1"/>
      <c r="C643" s="157"/>
      <c r="D643" s="157"/>
      <c r="E643" s="157"/>
      <c r="F643" s="157"/>
      <c r="G643" s="157"/>
      <c r="H643" s="157"/>
      <c r="J643" t="str">
        <f t="shared" si="10"/>
        <v/>
      </c>
    </row>
    <row r="644" spans="1:10" x14ac:dyDescent="0.3">
      <c r="A644" s="1"/>
      <c r="B644" s="1"/>
      <c r="C644" s="157"/>
      <c r="D644" s="157"/>
      <c r="E644" s="157"/>
      <c r="F644" s="157"/>
      <c r="G644" s="157"/>
      <c r="H644" s="157"/>
      <c r="J644" t="str">
        <f t="shared" si="10"/>
        <v/>
      </c>
    </row>
    <row r="645" spans="1:10" x14ac:dyDescent="0.3">
      <c r="A645" s="1"/>
      <c r="B645" s="1"/>
      <c r="C645" s="157"/>
      <c r="D645" s="157"/>
      <c r="E645" s="157"/>
      <c r="F645" s="157"/>
      <c r="G645" s="157"/>
      <c r="H645" s="157"/>
      <c r="J645" t="str">
        <f t="shared" si="10"/>
        <v/>
      </c>
    </row>
    <row r="646" spans="1:10" x14ac:dyDescent="0.3">
      <c r="A646" s="1"/>
      <c r="B646" s="1"/>
      <c r="C646" s="157"/>
      <c r="D646" s="157"/>
      <c r="E646" s="157"/>
      <c r="F646" s="157"/>
      <c r="G646" s="157"/>
      <c r="H646" s="157"/>
      <c r="J646" t="str">
        <f t="shared" si="10"/>
        <v/>
      </c>
    </row>
    <row r="647" spans="1:10" x14ac:dyDescent="0.3">
      <c r="A647" s="1"/>
      <c r="B647" s="1"/>
      <c r="C647" s="157"/>
      <c r="D647" s="157"/>
      <c r="E647" s="157"/>
      <c r="F647" s="157"/>
      <c r="G647" s="157"/>
      <c r="H647" s="157"/>
      <c r="J647" t="str">
        <f t="shared" si="10"/>
        <v/>
      </c>
    </row>
    <row r="648" spans="1:10" x14ac:dyDescent="0.3">
      <c r="A648" s="1"/>
      <c r="B648" s="1"/>
      <c r="C648" s="157"/>
      <c r="D648" s="157"/>
      <c r="E648" s="157"/>
      <c r="F648" s="157"/>
      <c r="G648" s="157"/>
      <c r="H648" s="157"/>
      <c r="J648" t="str">
        <f t="shared" si="10"/>
        <v/>
      </c>
    </row>
    <row r="649" spans="1:10" x14ac:dyDescent="0.3">
      <c r="A649" s="1"/>
      <c r="B649" s="1"/>
      <c r="C649" s="157"/>
      <c r="D649" s="157"/>
      <c r="E649" s="157"/>
      <c r="F649" s="157"/>
      <c r="G649" s="157"/>
      <c r="H649" s="157"/>
      <c r="J649" t="str">
        <f t="shared" si="10"/>
        <v/>
      </c>
    </row>
    <row r="650" spans="1:10" x14ac:dyDescent="0.3">
      <c r="A650" s="1"/>
      <c r="B650" s="1"/>
      <c r="C650" s="157"/>
      <c r="D650" s="157"/>
      <c r="E650" s="157"/>
      <c r="F650" s="157"/>
      <c r="G650" s="157"/>
      <c r="H650" s="157"/>
      <c r="J650" t="str">
        <f t="shared" si="10"/>
        <v/>
      </c>
    </row>
    <row r="651" spans="1:10" x14ac:dyDescent="0.3">
      <c r="A651" s="1"/>
      <c r="B651" s="1"/>
      <c r="C651" s="157"/>
      <c r="D651" s="157"/>
      <c r="E651" s="157"/>
      <c r="F651" s="157"/>
      <c r="G651" s="157"/>
      <c r="H651" s="157"/>
      <c r="J651" t="str">
        <f t="shared" si="10"/>
        <v/>
      </c>
    </row>
    <row r="652" spans="1:10" x14ac:dyDescent="0.3">
      <c r="A652" s="1"/>
      <c r="B652" s="1"/>
      <c r="C652" s="157"/>
      <c r="D652" s="157"/>
      <c r="E652" s="157"/>
      <c r="F652" s="157"/>
      <c r="G652" s="157"/>
      <c r="H652" s="157"/>
      <c r="J652" t="str">
        <f t="shared" si="10"/>
        <v/>
      </c>
    </row>
    <row r="653" spans="1:10" x14ac:dyDescent="0.3">
      <c r="A653" s="1"/>
      <c r="B653" s="1"/>
      <c r="C653" s="157"/>
      <c r="D653" s="157"/>
      <c r="E653" s="157"/>
      <c r="F653" s="157"/>
      <c r="G653" s="157"/>
      <c r="H653" s="157"/>
      <c r="J653" t="str">
        <f t="shared" si="10"/>
        <v/>
      </c>
    </row>
    <row r="654" spans="1:10" x14ac:dyDescent="0.3">
      <c r="A654" s="1"/>
      <c r="B654" s="1"/>
      <c r="C654" s="157"/>
      <c r="D654" s="157"/>
      <c r="E654" s="157"/>
      <c r="F654" s="157"/>
      <c r="G654" s="157"/>
      <c r="H654" s="157"/>
      <c r="J654" t="str">
        <f t="shared" si="10"/>
        <v/>
      </c>
    </row>
    <row r="655" spans="1:10" x14ac:dyDescent="0.3">
      <c r="A655" s="1"/>
      <c r="B655" s="1"/>
      <c r="C655" s="157"/>
      <c r="D655" s="157"/>
      <c r="E655" s="157"/>
      <c r="F655" s="157"/>
      <c r="G655" s="157"/>
      <c r="H655" s="157"/>
      <c r="J655" t="str">
        <f t="shared" si="10"/>
        <v/>
      </c>
    </row>
    <row r="656" spans="1:10" x14ac:dyDescent="0.3">
      <c r="A656" s="1"/>
      <c r="B656" s="1"/>
      <c r="C656" s="157"/>
      <c r="D656" s="157"/>
      <c r="E656" s="157"/>
      <c r="F656" s="157"/>
      <c r="G656" s="157"/>
      <c r="H656" s="157"/>
      <c r="J656" t="str">
        <f t="shared" si="10"/>
        <v/>
      </c>
    </row>
    <row r="657" spans="1:10" x14ac:dyDescent="0.3">
      <c r="A657" s="1"/>
      <c r="B657" s="1"/>
      <c r="C657" s="157"/>
      <c r="D657" s="157"/>
      <c r="E657" s="157"/>
      <c r="F657" s="157"/>
      <c r="G657" s="157"/>
      <c r="H657" s="157"/>
      <c r="J657" t="str">
        <f t="shared" si="10"/>
        <v/>
      </c>
    </row>
    <row r="658" spans="1:10" x14ac:dyDescent="0.3">
      <c r="A658" s="1"/>
      <c r="B658" s="1"/>
      <c r="C658" s="157"/>
      <c r="D658" s="157"/>
      <c r="E658" s="157"/>
      <c r="F658" s="157"/>
      <c r="G658" s="157"/>
      <c r="H658" s="157"/>
      <c r="J658" t="str">
        <f t="shared" si="10"/>
        <v/>
      </c>
    </row>
    <row r="659" spans="1:10" x14ac:dyDescent="0.3">
      <c r="A659" s="1"/>
      <c r="B659" s="1"/>
      <c r="C659" s="157"/>
      <c r="D659" s="157"/>
      <c r="E659" s="157"/>
      <c r="F659" s="157"/>
      <c r="G659" s="157"/>
      <c r="H659" s="157"/>
      <c r="J659" t="str">
        <f t="shared" si="10"/>
        <v/>
      </c>
    </row>
    <row r="660" spans="1:10" x14ac:dyDescent="0.3">
      <c r="A660" s="1"/>
      <c r="B660" s="1"/>
      <c r="C660" s="157"/>
      <c r="D660" s="157"/>
      <c r="E660" s="157"/>
      <c r="F660" s="157"/>
      <c r="G660" s="157"/>
      <c r="H660" s="157"/>
      <c r="J660" t="str">
        <f t="shared" si="10"/>
        <v/>
      </c>
    </row>
    <row r="661" spans="1:10" x14ac:dyDescent="0.3">
      <c r="A661" s="1"/>
      <c r="B661" s="1"/>
      <c r="C661" s="157"/>
      <c r="D661" s="157"/>
      <c r="E661" s="157"/>
      <c r="F661" s="157"/>
      <c r="G661" s="157"/>
      <c r="H661" s="157"/>
      <c r="J661" t="str">
        <f t="shared" si="10"/>
        <v/>
      </c>
    </row>
    <row r="662" spans="1:10" x14ac:dyDescent="0.3">
      <c r="A662" s="1"/>
      <c r="B662" s="1"/>
      <c r="C662" s="157"/>
      <c r="D662" s="157"/>
      <c r="E662" s="157"/>
      <c r="F662" s="157"/>
      <c r="G662" s="157"/>
      <c r="H662" s="157"/>
      <c r="J662" t="str">
        <f t="shared" si="10"/>
        <v/>
      </c>
    </row>
    <row r="663" spans="1:10" x14ac:dyDescent="0.3">
      <c r="A663" s="1"/>
      <c r="B663" s="1"/>
      <c r="C663" s="157"/>
      <c r="D663" s="157"/>
      <c r="E663" s="157"/>
      <c r="F663" s="157"/>
      <c r="G663" s="157"/>
      <c r="H663" s="157"/>
      <c r="J663" t="str">
        <f t="shared" si="10"/>
        <v/>
      </c>
    </row>
    <row r="664" spans="1:10" x14ac:dyDescent="0.3">
      <c r="A664" s="1"/>
      <c r="B664" s="1"/>
      <c r="C664" s="157"/>
      <c r="D664" s="157"/>
      <c r="E664" s="157"/>
      <c r="F664" s="157"/>
      <c r="G664" s="157"/>
      <c r="H664" s="157"/>
      <c r="J664" t="str">
        <f t="shared" si="10"/>
        <v/>
      </c>
    </row>
    <row r="665" spans="1:10" x14ac:dyDescent="0.3">
      <c r="A665" s="1"/>
      <c r="B665" s="1"/>
      <c r="C665" s="157"/>
      <c r="D665" s="157"/>
      <c r="E665" s="157"/>
      <c r="F665" s="157"/>
      <c r="G665" s="157"/>
      <c r="H665" s="157"/>
      <c r="J665" t="str">
        <f t="shared" si="10"/>
        <v/>
      </c>
    </row>
    <row r="666" spans="1:10" x14ac:dyDescent="0.3">
      <c r="A666" s="1"/>
      <c r="B666" s="1"/>
      <c r="C666" s="157"/>
      <c r="D666" s="157"/>
      <c r="E666" s="157"/>
      <c r="F666" s="157"/>
      <c r="G666" s="157"/>
      <c r="H666" s="157"/>
      <c r="J666" t="str">
        <f t="shared" si="10"/>
        <v/>
      </c>
    </row>
    <row r="667" spans="1:10" x14ac:dyDescent="0.3">
      <c r="A667" s="1"/>
      <c r="B667" s="1"/>
      <c r="C667" s="157"/>
      <c r="D667" s="157"/>
      <c r="E667" s="157"/>
      <c r="F667" s="157"/>
      <c r="G667" s="157"/>
      <c r="H667" s="157"/>
      <c r="J667" t="str">
        <f t="shared" si="10"/>
        <v/>
      </c>
    </row>
    <row r="668" spans="1:10" x14ac:dyDescent="0.3">
      <c r="A668" s="1"/>
      <c r="B668" s="1"/>
      <c r="C668" s="157"/>
      <c r="D668" s="157"/>
      <c r="E668" s="157"/>
      <c r="F668" s="157"/>
      <c r="G668" s="157"/>
      <c r="H668" s="157"/>
      <c r="J668" t="str">
        <f t="shared" si="10"/>
        <v/>
      </c>
    </row>
    <row r="669" spans="1:10" x14ac:dyDescent="0.3">
      <c r="A669" s="1"/>
      <c r="B669" s="1"/>
      <c r="C669" s="157"/>
      <c r="D669" s="157"/>
      <c r="E669" s="157"/>
      <c r="F669" s="157"/>
      <c r="G669" s="157"/>
      <c r="H669" s="157"/>
      <c r="J669" t="str">
        <f t="shared" si="10"/>
        <v/>
      </c>
    </row>
    <row r="670" spans="1:10" x14ac:dyDescent="0.3">
      <c r="A670" s="1"/>
      <c r="B670" s="1"/>
      <c r="C670" s="157"/>
      <c r="D670" s="157"/>
      <c r="E670" s="157"/>
      <c r="F670" s="157"/>
      <c r="G670" s="157"/>
      <c r="H670" s="157"/>
      <c r="J670" t="str">
        <f t="shared" si="10"/>
        <v/>
      </c>
    </row>
    <row r="671" spans="1:10" x14ac:dyDescent="0.3">
      <c r="A671" s="1"/>
      <c r="B671" s="1"/>
      <c r="C671" s="157"/>
      <c r="D671" s="157"/>
      <c r="E671" s="157"/>
      <c r="F671" s="157"/>
      <c r="G671" s="157"/>
      <c r="H671" s="157"/>
      <c r="J671" t="str">
        <f t="shared" si="10"/>
        <v/>
      </c>
    </row>
    <row r="672" spans="1:10" x14ac:dyDescent="0.3">
      <c r="A672" s="1"/>
      <c r="B672" s="1"/>
      <c r="C672" s="157"/>
      <c r="D672" s="157"/>
      <c r="E672" s="157"/>
      <c r="F672" s="157"/>
      <c r="G672" s="157"/>
      <c r="H672" s="157"/>
      <c r="J672" t="str">
        <f t="shared" si="10"/>
        <v/>
      </c>
    </row>
    <row r="673" spans="1:10" x14ac:dyDescent="0.3">
      <c r="A673" s="1"/>
      <c r="B673" s="1"/>
      <c r="C673" s="157"/>
      <c r="D673" s="157"/>
      <c r="E673" s="157"/>
      <c r="F673" s="157"/>
      <c r="G673" s="157"/>
      <c r="H673" s="157"/>
      <c r="J673" t="str">
        <f t="shared" si="10"/>
        <v/>
      </c>
    </row>
    <row r="674" spans="1:10" x14ac:dyDescent="0.3">
      <c r="A674" s="1"/>
      <c r="B674" s="1"/>
      <c r="C674" s="157"/>
      <c r="D674" s="157"/>
      <c r="E674" s="157"/>
      <c r="F674" s="157"/>
      <c r="G674" s="157"/>
      <c r="H674" s="157"/>
      <c r="J674" t="str">
        <f t="shared" si="10"/>
        <v/>
      </c>
    </row>
    <row r="675" spans="1:10" x14ac:dyDescent="0.3">
      <c r="A675" s="1"/>
      <c r="B675" s="1"/>
      <c r="C675" s="157"/>
      <c r="D675" s="157"/>
      <c r="E675" s="157"/>
      <c r="F675" s="157"/>
      <c r="G675" s="157"/>
      <c r="H675" s="157"/>
      <c r="J675" t="str">
        <f t="shared" si="10"/>
        <v/>
      </c>
    </row>
    <row r="676" spans="1:10" x14ac:dyDescent="0.3">
      <c r="A676" s="1"/>
      <c r="B676" s="1"/>
      <c r="C676" s="157"/>
      <c r="D676" s="157"/>
      <c r="E676" s="157"/>
      <c r="F676" s="157"/>
      <c r="G676" s="157"/>
      <c r="H676" s="157"/>
      <c r="J676" t="str">
        <f t="shared" si="10"/>
        <v/>
      </c>
    </row>
    <row r="677" spans="1:10" x14ac:dyDescent="0.3">
      <c r="A677" s="1"/>
      <c r="B677" s="1"/>
      <c r="C677" s="157"/>
      <c r="D677" s="157"/>
      <c r="E677" s="157"/>
      <c r="F677" s="157"/>
      <c r="G677" s="157"/>
      <c r="H677" s="157"/>
      <c r="J677" t="str">
        <f t="shared" si="10"/>
        <v/>
      </c>
    </row>
    <row r="678" spans="1:10" x14ac:dyDescent="0.3">
      <c r="A678" s="1"/>
      <c r="B678" s="1"/>
      <c r="C678" s="157"/>
      <c r="D678" s="157"/>
      <c r="E678" s="157"/>
      <c r="F678" s="157"/>
      <c r="G678" s="157"/>
      <c r="H678" s="157"/>
      <c r="J678" t="str">
        <f t="shared" si="10"/>
        <v/>
      </c>
    </row>
    <row r="679" spans="1:10" x14ac:dyDescent="0.3">
      <c r="A679" s="1"/>
      <c r="B679" s="1"/>
      <c r="C679" s="157"/>
      <c r="D679" s="157"/>
      <c r="E679" s="157"/>
      <c r="F679" s="157"/>
      <c r="G679" s="157"/>
      <c r="H679" s="157"/>
      <c r="J679" t="str">
        <f t="shared" si="10"/>
        <v/>
      </c>
    </row>
    <row r="680" spans="1:10" x14ac:dyDescent="0.3">
      <c r="A680" s="1"/>
      <c r="B680" s="1"/>
      <c r="C680" s="157"/>
      <c r="D680" s="157"/>
      <c r="E680" s="157"/>
      <c r="F680" s="157"/>
      <c r="G680" s="157"/>
      <c r="H680" s="157"/>
      <c r="J680" t="str">
        <f t="shared" si="10"/>
        <v/>
      </c>
    </row>
    <row r="681" spans="1:10" x14ac:dyDescent="0.3">
      <c r="A681" s="1"/>
      <c r="B681" s="1"/>
      <c r="C681" s="157"/>
      <c r="D681" s="157"/>
      <c r="E681" s="157"/>
      <c r="F681" s="157"/>
      <c r="G681" s="157"/>
      <c r="H681" s="157"/>
      <c r="J681" t="str">
        <f t="shared" si="10"/>
        <v/>
      </c>
    </row>
    <row r="682" spans="1:10" x14ac:dyDescent="0.3">
      <c r="A682" s="1"/>
      <c r="B682" s="1"/>
      <c r="C682" s="157"/>
      <c r="D682" s="157"/>
      <c r="E682" s="157"/>
      <c r="F682" s="157"/>
      <c r="G682" s="157"/>
      <c r="H682" s="157"/>
      <c r="J682" t="str">
        <f t="shared" si="10"/>
        <v/>
      </c>
    </row>
    <row r="683" spans="1:10" x14ac:dyDescent="0.3">
      <c r="A683" s="1"/>
      <c r="B683" s="1"/>
      <c r="C683" s="157"/>
      <c r="D683" s="157"/>
      <c r="E683" s="157"/>
      <c r="F683" s="157"/>
      <c r="G683" s="157"/>
      <c r="H683" s="157"/>
      <c r="J683" t="str">
        <f t="shared" si="10"/>
        <v/>
      </c>
    </row>
    <row r="684" spans="1:10" x14ac:dyDescent="0.3">
      <c r="A684" s="1"/>
      <c r="B684" s="1"/>
      <c r="C684" s="157"/>
      <c r="D684" s="157"/>
      <c r="E684" s="157"/>
      <c r="F684" s="157"/>
      <c r="G684" s="157"/>
      <c r="H684" s="157"/>
      <c r="J684" t="str">
        <f t="shared" si="10"/>
        <v/>
      </c>
    </row>
    <row r="685" spans="1:10" x14ac:dyDescent="0.3">
      <c r="A685" s="1"/>
      <c r="B685" s="1"/>
      <c r="C685" s="157"/>
      <c r="D685" s="157"/>
      <c r="E685" s="157"/>
      <c r="F685" s="157"/>
      <c r="G685" s="157"/>
      <c r="H685" s="157"/>
      <c r="J685" t="str">
        <f t="shared" si="10"/>
        <v/>
      </c>
    </row>
    <row r="686" spans="1:10" x14ac:dyDescent="0.3">
      <c r="A686" s="1"/>
      <c r="B686" s="1"/>
      <c r="C686" s="157"/>
      <c r="D686" s="157"/>
      <c r="E686" s="157"/>
      <c r="F686" s="157"/>
      <c r="G686" s="157"/>
      <c r="H686" s="157"/>
      <c r="J686" t="str">
        <f t="shared" si="10"/>
        <v/>
      </c>
    </row>
    <row r="687" spans="1:10" x14ac:dyDescent="0.3">
      <c r="A687" s="1"/>
      <c r="B687" s="1"/>
      <c r="C687" s="157"/>
      <c r="D687" s="157"/>
      <c r="E687" s="157"/>
      <c r="F687" s="157"/>
      <c r="G687" s="157"/>
      <c r="H687" s="157"/>
      <c r="J687" t="str">
        <f t="shared" si="10"/>
        <v/>
      </c>
    </row>
    <row r="688" spans="1:10" x14ac:dyDescent="0.3">
      <c r="A688" s="1"/>
      <c r="B688" s="1"/>
      <c r="C688" s="157"/>
      <c r="D688" s="157"/>
      <c r="E688" s="157"/>
      <c r="F688" s="157"/>
      <c r="G688" s="157"/>
      <c r="H688" s="157"/>
      <c r="J688" t="str">
        <f t="shared" si="10"/>
        <v/>
      </c>
    </row>
    <row r="689" spans="1:10" x14ac:dyDescent="0.3">
      <c r="A689" s="1"/>
      <c r="B689" s="1"/>
      <c r="C689" s="157"/>
      <c r="D689" s="157"/>
      <c r="E689" s="157"/>
      <c r="F689" s="157"/>
      <c r="G689" s="157"/>
      <c r="H689" s="157"/>
      <c r="J689" t="str">
        <f t="shared" si="10"/>
        <v/>
      </c>
    </row>
    <row r="690" spans="1:10" x14ac:dyDescent="0.3">
      <c r="A690" s="1"/>
      <c r="B690" s="1"/>
      <c r="C690" s="157"/>
      <c r="D690" s="157"/>
      <c r="E690" s="157"/>
      <c r="F690" s="157"/>
      <c r="G690" s="157"/>
      <c r="H690" s="157"/>
      <c r="J690" t="str">
        <f t="shared" si="10"/>
        <v/>
      </c>
    </row>
    <row r="691" spans="1:10" x14ac:dyDescent="0.3">
      <c r="A691" s="1"/>
      <c r="B691" s="1"/>
      <c r="C691" s="157"/>
      <c r="D691" s="157"/>
      <c r="E691" s="157"/>
      <c r="F691" s="157"/>
      <c r="G691" s="157"/>
      <c r="H691" s="157"/>
      <c r="J691" t="str">
        <f t="shared" si="10"/>
        <v/>
      </c>
    </row>
    <row r="692" spans="1:10" x14ac:dyDescent="0.3">
      <c r="A692" s="1"/>
      <c r="B692" s="1"/>
      <c r="C692" s="157"/>
      <c r="D692" s="157"/>
      <c r="E692" s="157"/>
      <c r="F692" s="157"/>
      <c r="G692" s="157"/>
      <c r="H692" s="157"/>
      <c r="J692" t="str">
        <f t="shared" si="10"/>
        <v/>
      </c>
    </row>
    <row r="693" spans="1:10" x14ac:dyDescent="0.3">
      <c r="A693" s="1"/>
      <c r="B693" s="1"/>
      <c r="C693" s="157"/>
      <c r="D693" s="157"/>
      <c r="E693" s="157"/>
      <c r="F693" s="157"/>
      <c r="G693" s="157"/>
      <c r="H693" s="157"/>
      <c r="J693" t="str">
        <f t="shared" si="10"/>
        <v/>
      </c>
    </row>
    <row r="694" spans="1:10" x14ac:dyDescent="0.3">
      <c r="A694" s="1"/>
      <c r="B694" s="1"/>
      <c r="C694" s="157"/>
      <c r="D694" s="157"/>
      <c r="E694" s="157"/>
      <c r="F694" s="157"/>
      <c r="G694" s="157"/>
      <c r="H694" s="157"/>
      <c r="J694" t="str">
        <f t="shared" si="10"/>
        <v/>
      </c>
    </row>
    <row r="695" spans="1:10" x14ac:dyDescent="0.3">
      <c r="A695" s="1"/>
      <c r="B695" s="1"/>
      <c r="C695" s="157"/>
      <c r="D695" s="157"/>
      <c r="E695" s="157"/>
      <c r="F695" s="157"/>
      <c r="G695" s="157"/>
      <c r="H695" s="157"/>
      <c r="J695" t="str">
        <f t="shared" si="10"/>
        <v/>
      </c>
    </row>
    <row r="696" spans="1:10" x14ac:dyDescent="0.3">
      <c r="A696" s="1"/>
      <c r="B696" s="1"/>
      <c r="C696" s="157"/>
      <c r="D696" s="157"/>
      <c r="E696" s="157"/>
      <c r="F696" s="157"/>
      <c r="G696" s="157"/>
      <c r="H696" s="157"/>
      <c r="J696" t="str">
        <f t="shared" si="10"/>
        <v/>
      </c>
    </row>
    <row r="697" spans="1:10" x14ac:dyDescent="0.3">
      <c r="A697" s="1"/>
      <c r="B697" s="1"/>
      <c r="C697" s="157"/>
      <c r="D697" s="157"/>
      <c r="E697" s="157"/>
      <c r="F697" s="157"/>
      <c r="G697" s="157"/>
      <c r="H697" s="157"/>
      <c r="J697" t="str">
        <f t="shared" si="10"/>
        <v/>
      </c>
    </row>
    <row r="698" spans="1:10" x14ac:dyDescent="0.3">
      <c r="A698" s="1"/>
      <c r="B698" s="1"/>
      <c r="C698" s="157"/>
      <c r="D698" s="157"/>
      <c r="E698" s="157"/>
      <c r="F698" s="157"/>
      <c r="G698" s="157"/>
      <c r="H698" s="157"/>
      <c r="J698" t="str">
        <f t="shared" si="10"/>
        <v/>
      </c>
    </row>
    <row r="699" spans="1:10" x14ac:dyDescent="0.3">
      <c r="A699" s="1"/>
      <c r="B699" s="1"/>
      <c r="C699" s="157"/>
      <c r="D699" s="157"/>
      <c r="E699" s="157"/>
      <c r="F699" s="157"/>
      <c r="G699" s="157"/>
      <c r="H699" s="157"/>
      <c r="J699" t="str">
        <f t="shared" si="10"/>
        <v/>
      </c>
    </row>
    <row r="700" spans="1:10" x14ac:dyDescent="0.3">
      <c r="A700" s="1"/>
      <c r="B700" s="1"/>
      <c r="C700" s="157"/>
      <c r="D700" s="157"/>
      <c r="E700" s="157"/>
      <c r="F700" s="157"/>
      <c r="G700" s="157"/>
      <c r="H700" s="157"/>
      <c r="J700" t="str">
        <f t="shared" si="10"/>
        <v/>
      </c>
    </row>
    <row r="701" spans="1:10" x14ac:dyDescent="0.3">
      <c r="A701" s="1"/>
      <c r="B701" s="1"/>
      <c r="C701" s="157"/>
      <c r="D701" s="157"/>
      <c r="E701" s="157"/>
      <c r="F701" s="157"/>
      <c r="G701" s="157"/>
      <c r="H701" s="157"/>
      <c r="J701" t="str">
        <f t="shared" si="10"/>
        <v/>
      </c>
    </row>
    <row r="702" spans="1:10" x14ac:dyDescent="0.3">
      <c r="A702" s="1"/>
      <c r="B702" s="1"/>
      <c r="C702" s="157"/>
      <c r="D702" s="157"/>
      <c r="E702" s="157"/>
      <c r="F702" s="157"/>
      <c r="G702" s="157"/>
      <c r="H702" s="157"/>
      <c r="J702" t="str">
        <f t="shared" si="10"/>
        <v/>
      </c>
    </row>
    <row r="703" spans="1:10" x14ac:dyDescent="0.3">
      <c r="A703" s="1"/>
      <c r="B703" s="1"/>
      <c r="C703" s="157"/>
      <c r="D703" s="157"/>
      <c r="E703" s="157"/>
      <c r="F703" s="157"/>
      <c r="G703" s="157"/>
      <c r="H703" s="157"/>
      <c r="J703" t="str">
        <f t="shared" si="10"/>
        <v/>
      </c>
    </row>
    <row r="704" spans="1:10" x14ac:dyDescent="0.3">
      <c r="A704" s="1"/>
      <c r="B704" s="1"/>
      <c r="C704" s="157"/>
      <c r="D704" s="157"/>
      <c r="E704" s="157"/>
      <c r="F704" s="157"/>
      <c r="G704" s="157"/>
      <c r="H704" s="157"/>
      <c r="J704" t="str">
        <f t="shared" si="10"/>
        <v/>
      </c>
    </row>
    <row r="705" spans="1:10" x14ac:dyDescent="0.3">
      <c r="A705" s="1"/>
      <c r="B705" s="1"/>
      <c r="C705" s="157"/>
      <c r="D705" s="157"/>
      <c r="E705" s="157"/>
      <c r="F705" s="157"/>
      <c r="G705" s="157"/>
      <c r="H705" s="157"/>
      <c r="J705" t="str">
        <f t="shared" si="10"/>
        <v/>
      </c>
    </row>
    <row r="706" spans="1:10" x14ac:dyDescent="0.3">
      <c r="A706" s="1"/>
      <c r="B706" s="1"/>
      <c r="C706" s="157"/>
      <c r="D706" s="157"/>
      <c r="E706" s="157"/>
      <c r="F706" s="157"/>
      <c r="G706" s="157"/>
      <c r="H706" s="157"/>
      <c r="J706" t="str">
        <f t="shared" ref="J706:J769" si="11">IF(B706 &lt;&gt; "",(IF(C706&lt;&gt;"",CONCATENATE(A706, " ", B706,"  - ",C706,IF(D706&lt;&gt;"","/",""),D706),CONCATENATE(A706, " ",B706,IF(D706&lt;&gt;"","  - ",""),D706))),"")</f>
        <v/>
      </c>
    </row>
    <row r="707" spans="1:10" x14ac:dyDescent="0.3">
      <c r="A707" s="1"/>
      <c r="B707" s="1"/>
      <c r="C707" s="157"/>
      <c r="D707" s="157"/>
      <c r="E707" s="157"/>
      <c r="F707" s="157"/>
      <c r="G707" s="157"/>
      <c r="H707" s="157"/>
      <c r="J707" t="str">
        <f t="shared" si="11"/>
        <v/>
      </c>
    </row>
    <row r="708" spans="1:10" x14ac:dyDescent="0.3">
      <c r="A708" s="1"/>
      <c r="B708" s="1"/>
      <c r="C708" s="157"/>
      <c r="D708" s="157"/>
      <c r="E708" s="157"/>
      <c r="F708" s="157"/>
      <c r="G708" s="157"/>
      <c r="H708" s="157"/>
      <c r="J708" t="str">
        <f t="shared" si="11"/>
        <v/>
      </c>
    </row>
    <row r="709" spans="1:10" x14ac:dyDescent="0.3">
      <c r="A709" s="1"/>
      <c r="B709" s="1"/>
      <c r="C709" s="157"/>
      <c r="D709" s="157"/>
      <c r="E709" s="157"/>
      <c r="F709" s="157"/>
      <c r="G709" s="157"/>
      <c r="H709" s="157"/>
      <c r="J709" t="str">
        <f t="shared" si="11"/>
        <v/>
      </c>
    </row>
    <row r="710" spans="1:10" x14ac:dyDescent="0.3">
      <c r="A710" s="1"/>
      <c r="B710" s="1"/>
      <c r="C710" s="157"/>
      <c r="D710" s="157"/>
      <c r="E710" s="157"/>
      <c r="F710" s="157"/>
      <c r="G710" s="157"/>
      <c r="H710" s="157"/>
      <c r="J710" t="str">
        <f t="shared" si="11"/>
        <v/>
      </c>
    </row>
    <row r="711" spans="1:10" x14ac:dyDescent="0.3">
      <c r="A711" s="1"/>
      <c r="B711" s="1"/>
      <c r="C711" s="157"/>
      <c r="D711" s="157"/>
      <c r="E711" s="157"/>
      <c r="F711" s="157"/>
      <c r="G711" s="157"/>
      <c r="H711" s="157"/>
      <c r="J711" t="str">
        <f t="shared" si="11"/>
        <v/>
      </c>
    </row>
    <row r="712" spans="1:10" x14ac:dyDescent="0.3">
      <c r="A712" s="1"/>
      <c r="B712" s="1"/>
      <c r="C712" s="157"/>
      <c r="D712" s="157"/>
      <c r="E712" s="157"/>
      <c r="F712" s="157"/>
      <c r="G712" s="157"/>
      <c r="H712" s="157"/>
      <c r="J712" t="str">
        <f t="shared" si="11"/>
        <v/>
      </c>
    </row>
    <row r="713" spans="1:10" x14ac:dyDescent="0.3">
      <c r="A713" s="1"/>
      <c r="B713" s="1"/>
      <c r="C713" s="157"/>
      <c r="D713" s="157"/>
      <c r="E713" s="157"/>
      <c r="F713" s="157"/>
      <c r="G713" s="157"/>
      <c r="H713" s="157"/>
      <c r="J713" t="str">
        <f t="shared" si="11"/>
        <v/>
      </c>
    </row>
    <row r="714" spans="1:10" x14ac:dyDescent="0.3">
      <c r="A714" s="1"/>
      <c r="B714" s="1"/>
      <c r="C714" s="157"/>
      <c r="D714" s="157"/>
      <c r="E714" s="157"/>
      <c r="F714" s="157"/>
      <c r="G714" s="157"/>
      <c r="H714" s="157"/>
      <c r="J714" t="str">
        <f t="shared" si="11"/>
        <v/>
      </c>
    </row>
    <row r="715" spans="1:10" x14ac:dyDescent="0.3">
      <c r="A715" s="1"/>
      <c r="B715" s="1"/>
      <c r="C715" s="157"/>
      <c r="D715" s="157"/>
      <c r="E715" s="157"/>
      <c r="F715" s="157"/>
      <c r="G715" s="157"/>
      <c r="H715" s="157"/>
      <c r="J715" t="str">
        <f t="shared" si="11"/>
        <v/>
      </c>
    </row>
    <row r="716" spans="1:10" x14ac:dyDescent="0.3">
      <c r="A716" s="1"/>
      <c r="B716" s="1"/>
      <c r="C716" s="157"/>
      <c r="D716" s="157"/>
      <c r="E716" s="157"/>
      <c r="F716" s="157"/>
      <c r="G716" s="157"/>
      <c r="H716" s="157"/>
      <c r="J716" t="str">
        <f t="shared" si="11"/>
        <v/>
      </c>
    </row>
    <row r="717" spans="1:10" x14ac:dyDescent="0.3">
      <c r="A717" s="1"/>
      <c r="B717" s="1"/>
      <c r="C717" s="157"/>
      <c r="D717" s="157"/>
      <c r="E717" s="157"/>
      <c r="F717" s="157"/>
      <c r="G717" s="157"/>
      <c r="H717" s="157"/>
      <c r="J717" t="str">
        <f t="shared" si="11"/>
        <v/>
      </c>
    </row>
    <row r="718" spans="1:10" x14ac:dyDescent="0.3">
      <c r="A718" s="1"/>
      <c r="B718" s="1"/>
      <c r="C718" s="157"/>
      <c r="D718" s="157"/>
      <c r="E718" s="157"/>
      <c r="F718" s="157"/>
      <c r="G718" s="157"/>
      <c r="H718" s="157"/>
      <c r="J718" t="str">
        <f t="shared" si="11"/>
        <v/>
      </c>
    </row>
    <row r="719" spans="1:10" x14ac:dyDescent="0.3">
      <c r="A719" s="1"/>
      <c r="B719" s="1"/>
      <c r="C719" s="157"/>
      <c r="D719" s="157"/>
      <c r="E719" s="157"/>
      <c r="F719" s="157"/>
      <c r="G719" s="157"/>
      <c r="H719" s="157"/>
      <c r="J719" t="str">
        <f t="shared" si="11"/>
        <v/>
      </c>
    </row>
    <row r="720" spans="1:10" x14ac:dyDescent="0.3">
      <c r="A720" s="1"/>
      <c r="B720" s="1"/>
      <c r="C720" s="157"/>
      <c r="D720" s="157"/>
      <c r="E720" s="157"/>
      <c r="F720" s="157"/>
      <c r="G720" s="157"/>
      <c r="H720" s="157"/>
      <c r="J720" t="str">
        <f t="shared" si="11"/>
        <v/>
      </c>
    </row>
    <row r="721" spans="1:10" x14ac:dyDescent="0.3">
      <c r="A721" s="1"/>
      <c r="B721" s="1"/>
      <c r="C721" s="157"/>
      <c r="D721" s="157"/>
      <c r="E721" s="157"/>
      <c r="F721" s="157"/>
      <c r="G721" s="157"/>
      <c r="H721" s="157"/>
      <c r="J721" t="str">
        <f t="shared" si="11"/>
        <v/>
      </c>
    </row>
    <row r="722" spans="1:10" x14ac:dyDescent="0.3">
      <c r="A722" s="1"/>
      <c r="B722" s="1"/>
      <c r="C722" s="157"/>
      <c r="D722" s="157"/>
      <c r="E722" s="157"/>
      <c r="F722" s="157"/>
      <c r="G722" s="157"/>
      <c r="H722" s="157"/>
      <c r="J722" t="str">
        <f t="shared" si="11"/>
        <v/>
      </c>
    </row>
    <row r="723" spans="1:10" x14ac:dyDescent="0.3">
      <c r="A723" s="1"/>
      <c r="B723" s="1"/>
      <c r="C723" s="157"/>
      <c r="D723" s="157"/>
      <c r="E723" s="157"/>
      <c r="F723" s="157"/>
      <c r="G723" s="157"/>
      <c r="H723" s="157"/>
      <c r="J723" t="str">
        <f t="shared" si="11"/>
        <v/>
      </c>
    </row>
    <row r="724" spans="1:10" x14ac:dyDescent="0.3">
      <c r="A724" s="1"/>
      <c r="B724" s="1"/>
      <c r="C724" s="157"/>
      <c r="D724" s="157"/>
      <c r="E724" s="157"/>
      <c r="F724" s="157"/>
      <c r="G724" s="157"/>
      <c r="H724" s="157"/>
      <c r="J724" t="str">
        <f t="shared" si="11"/>
        <v/>
      </c>
    </row>
    <row r="725" spans="1:10" x14ac:dyDescent="0.3">
      <c r="A725" s="1"/>
      <c r="B725" s="1"/>
      <c r="C725" s="157"/>
      <c r="D725" s="157"/>
      <c r="E725" s="157"/>
      <c r="F725" s="157"/>
      <c r="G725" s="157"/>
      <c r="H725" s="157"/>
      <c r="J725" t="str">
        <f t="shared" si="11"/>
        <v/>
      </c>
    </row>
    <row r="726" spans="1:10" x14ac:dyDescent="0.3">
      <c r="A726" s="1"/>
      <c r="B726" s="1"/>
      <c r="C726" s="157"/>
      <c r="D726" s="157"/>
      <c r="E726" s="157"/>
      <c r="F726" s="157"/>
      <c r="G726" s="157"/>
      <c r="H726" s="157"/>
      <c r="J726" t="str">
        <f t="shared" si="11"/>
        <v/>
      </c>
    </row>
    <row r="727" spans="1:10" x14ac:dyDescent="0.3">
      <c r="A727" s="1"/>
      <c r="B727" s="1"/>
      <c r="C727" s="157"/>
      <c r="D727" s="157"/>
      <c r="E727" s="157"/>
      <c r="F727" s="157"/>
      <c r="G727" s="157"/>
      <c r="H727" s="157"/>
      <c r="J727" t="str">
        <f t="shared" si="11"/>
        <v/>
      </c>
    </row>
    <row r="728" spans="1:10" x14ac:dyDescent="0.3">
      <c r="A728" s="1"/>
      <c r="B728" s="1"/>
      <c r="C728" s="157"/>
      <c r="D728" s="157"/>
      <c r="E728" s="157"/>
      <c r="F728" s="157"/>
      <c r="G728" s="157"/>
      <c r="H728" s="157"/>
      <c r="J728" t="str">
        <f t="shared" si="11"/>
        <v/>
      </c>
    </row>
    <row r="729" spans="1:10" x14ac:dyDescent="0.3">
      <c r="A729" s="1"/>
      <c r="B729" s="1"/>
      <c r="C729" s="157"/>
      <c r="D729" s="157"/>
      <c r="E729" s="157"/>
      <c r="F729" s="157"/>
      <c r="G729" s="157"/>
      <c r="H729" s="157"/>
      <c r="J729" t="str">
        <f t="shared" si="11"/>
        <v/>
      </c>
    </row>
    <row r="730" spans="1:10" x14ac:dyDescent="0.3">
      <c r="A730" s="1"/>
      <c r="B730" s="1"/>
      <c r="C730" s="157"/>
      <c r="D730" s="157"/>
      <c r="E730" s="157"/>
      <c r="F730" s="157"/>
      <c r="G730" s="157"/>
      <c r="H730" s="157"/>
      <c r="J730" t="str">
        <f t="shared" si="11"/>
        <v/>
      </c>
    </row>
    <row r="731" spans="1:10" x14ac:dyDescent="0.3">
      <c r="A731" s="1"/>
      <c r="B731" s="1"/>
      <c r="C731" s="157"/>
      <c r="D731" s="157"/>
      <c r="E731" s="157"/>
      <c r="F731" s="157"/>
      <c r="G731" s="157"/>
      <c r="H731" s="157"/>
      <c r="J731" t="str">
        <f t="shared" si="11"/>
        <v/>
      </c>
    </row>
    <row r="732" spans="1:10" x14ac:dyDescent="0.3">
      <c r="A732" s="1"/>
      <c r="B732" s="1"/>
      <c r="C732" s="157"/>
      <c r="D732" s="157"/>
      <c r="E732" s="157"/>
      <c r="F732" s="157"/>
      <c r="G732" s="157"/>
      <c r="H732" s="157"/>
      <c r="J732" t="str">
        <f t="shared" si="11"/>
        <v/>
      </c>
    </row>
    <row r="733" spans="1:10" x14ac:dyDescent="0.3">
      <c r="A733" s="1"/>
      <c r="B733" s="1"/>
      <c r="C733" s="157"/>
      <c r="D733" s="157"/>
      <c r="E733" s="157"/>
      <c r="F733" s="157"/>
      <c r="G733" s="157"/>
      <c r="H733" s="157"/>
      <c r="J733" t="str">
        <f t="shared" si="11"/>
        <v/>
      </c>
    </row>
    <row r="734" spans="1:10" x14ac:dyDescent="0.3">
      <c r="A734" s="1"/>
      <c r="B734" s="1"/>
      <c r="C734" s="157"/>
      <c r="D734" s="157"/>
      <c r="E734" s="157"/>
      <c r="F734" s="157"/>
      <c r="G734" s="157"/>
      <c r="H734" s="157"/>
      <c r="J734" t="str">
        <f t="shared" si="11"/>
        <v/>
      </c>
    </row>
    <row r="735" spans="1:10" x14ac:dyDescent="0.3">
      <c r="A735" s="1"/>
      <c r="B735" s="1"/>
      <c r="C735" s="157"/>
      <c r="D735" s="157"/>
      <c r="E735" s="157"/>
      <c r="F735" s="157"/>
      <c r="G735" s="157"/>
      <c r="H735" s="157"/>
      <c r="J735" t="str">
        <f t="shared" si="11"/>
        <v/>
      </c>
    </row>
    <row r="736" spans="1:10" x14ac:dyDescent="0.3">
      <c r="A736" s="1"/>
      <c r="B736" s="1"/>
      <c r="C736" s="157"/>
      <c r="D736" s="157"/>
      <c r="E736" s="157"/>
      <c r="F736" s="157"/>
      <c r="G736" s="157"/>
      <c r="H736" s="157"/>
      <c r="J736" t="str">
        <f t="shared" si="11"/>
        <v/>
      </c>
    </row>
    <row r="737" spans="1:10" x14ac:dyDescent="0.3">
      <c r="A737" s="1"/>
      <c r="B737" s="1"/>
      <c r="C737" s="157"/>
      <c r="D737" s="157"/>
      <c r="E737" s="157"/>
      <c r="F737" s="157"/>
      <c r="G737" s="157"/>
      <c r="H737" s="157"/>
      <c r="J737" t="str">
        <f t="shared" si="11"/>
        <v/>
      </c>
    </row>
    <row r="738" spans="1:10" x14ac:dyDescent="0.3">
      <c r="A738" s="1"/>
      <c r="B738" s="1"/>
      <c r="C738" s="157"/>
      <c r="D738" s="157"/>
      <c r="E738" s="157"/>
      <c r="F738" s="157"/>
      <c r="G738" s="157"/>
      <c r="H738" s="157"/>
      <c r="J738" t="str">
        <f t="shared" si="11"/>
        <v/>
      </c>
    </row>
    <row r="739" spans="1:10" x14ac:dyDescent="0.3">
      <c r="A739" s="1"/>
      <c r="B739" s="1"/>
      <c r="C739" s="157"/>
      <c r="D739" s="157"/>
      <c r="E739" s="157"/>
      <c r="F739" s="157"/>
      <c r="G739" s="157"/>
      <c r="H739" s="157"/>
      <c r="J739" t="str">
        <f t="shared" si="11"/>
        <v/>
      </c>
    </row>
    <row r="740" spans="1:10" x14ac:dyDescent="0.3">
      <c r="A740" s="1"/>
      <c r="B740" s="1"/>
      <c r="C740" s="157"/>
      <c r="D740" s="157"/>
      <c r="E740" s="157"/>
      <c r="F740" s="157"/>
      <c r="G740" s="157"/>
      <c r="H740" s="157"/>
      <c r="J740" t="str">
        <f t="shared" si="11"/>
        <v/>
      </c>
    </row>
    <row r="741" spans="1:10" x14ac:dyDescent="0.3">
      <c r="A741" s="1"/>
      <c r="B741" s="1"/>
      <c r="C741" s="157"/>
      <c r="D741" s="157"/>
      <c r="E741" s="157"/>
      <c r="F741" s="157"/>
      <c r="G741" s="157"/>
      <c r="H741" s="157"/>
      <c r="J741" t="str">
        <f t="shared" si="11"/>
        <v/>
      </c>
    </row>
    <row r="742" spans="1:10" x14ac:dyDescent="0.3">
      <c r="A742" s="1"/>
      <c r="B742" s="1"/>
      <c r="C742" s="157"/>
      <c r="D742" s="157"/>
      <c r="E742" s="157"/>
      <c r="F742" s="157"/>
      <c r="G742" s="157"/>
      <c r="H742" s="157"/>
      <c r="J742" t="str">
        <f t="shared" si="11"/>
        <v/>
      </c>
    </row>
    <row r="743" spans="1:10" x14ac:dyDescent="0.3">
      <c r="A743" s="1"/>
      <c r="B743" s="1"/>
      <c r="C743" s="157"/>
      <c r="D743" s="157"/>
      <c r="E743" s="157"/>
      <c r="F743" s="157"/>
      <c r="G743" s="157"/>
      <c r="H743" s="157"/>
      <c r="J743" t="str">
        <f t="shared" si="11"/>
        <v/>
      </c>
    </row>
    <row r="744" spans="1:10" x14ac:dyDescent="0.3">
      <c r="A744" s="1"/>
      <c r="B744" s="1"/>
      <c r="C744" s="157"/>
      <c r="D744" s="157"/>
      <c r="E744" s="157"/>
      <c r="F744" s="157"/>
      <c r="G744" s="157"/>
      <c r="H744" s="157"/>
      <c r="J744" t="str">
        <f t="shared" si="11"/>
        <v/>
      </c>
    </row>
    <row r="745" spans="1:10" x14ac:dyDescent="0.3">
      <c r="A745" s="1"/>
      <c r="B745" s="1"/>
      <c r="C745" s="157"/>
      <c r="D745" s="157"/>
      <c r="E745" s="157"/>
      <c r="F745" s="157"/>
      <c r="G745" s="157"/>
      <c r="H745" s="157"/>
      <c r="J745" t="str">
        <f t="shared" si="11"/>
        <v/>
      </c>
    </row>
    <row r="746" spans="1:10" x14ac:dyDescent="0.3">
      <c r="A746" s="1"/>
      <c r="B746" s="1"/>
      <c r="C746" s="157"/>
      <c r="D746" s="157"/>
      <c r="E746" s="157"/>
      <c r="F746" s="157"/>
      <c r="G746" s="157"/>
      <c r="H746" s="157"/>
      <c r="J746" t="str">
        <f t="shared" si="11"/>
        <v/>
      </c>
    </row>
    <row r="747" spans="1:10" x14ac:dyDescent="0.3">
      <c r="A747" s="1"/>
      <c r="B747" s="1"/>
      <c r="C747" s="157"/>
      <c r="D747" s="157"/>
      <c r="E747" s="157"/>
      <c r="F747" s="157"/>
      <c r="G747" s="157"/>
      <c r="H747" s="157"/>
      <c r="J747" t="str">
        <f t="shared" si="11"/>
        <v/>
      </c>
    </row>
    <row r="748" spans="1:10" x14ac:dyDescent="0.3">
      <c r="A748" s="1"/>
      <c r="B748" s="1"/>
      <c r="C748" s="157"/>
      <c r="D748" s="157"/>
      <c r="E748" s="157"/>
      <c r="F748" s="157"/>
      <c r="G748" s="157"/>
      <c r="H748" s="157"/>
      <c r="J748" t="str">
        <f t="shared" si="11"/>
        <v/>
      </c>
    </row>
    <row r="749" spans="1:10" x14ac:dyDescent="0.3">
      <c r="A749" s="1"/>
      <c r="B749" s="1"/>
      <c r="C749" s="157"/>
      <c r="D749" s="157"/>
      <c r="E749" s="157"/>
      <c r="F749" s="157"/>
      <c r="G749" s="157"/>
      <c r="H749" s="157"/>
      <c r="J749" t="str">
        <f t="shared" si="11"/>
        <v/>
      </c>
    </row>
    <row r="750" spans="1:10" x14ac:dyDescent="0.3">
      <c r="A750" s="1"/>
      <c r="B750" s="1"/>
      <c r="C750" s="157"/>
      <c r="D750" s="157"/>
      <c r="E750" s="157"/>
      <c r="F750" s="157"/>
      <c r="G750" s="157"/>
      <c r="H750" s="157"/>
      <c r="J750" t="str">
        <f t="shared" si="11"/>
        <v/>
      </c>
    </row>
    <row r="751" spans="1:10" x14ac:dyDescent="0.3">
      <c r="A751" s="1"/>
      <c r="B751" s="1"/>
      <c r="C751" s="157"/>
      <c r="D751" s="157"/>
      <c r="E751" s="157"/>
      <c r="F751" s="157"/>
      <c r="G751" s="157"/>
      <c r="H751" s="157"/>
      <c r="J751" t="str">
        <f t="shared" si="11"/>
        <v/>
      </c>
    </row>
    <row r="752" spans="1:10" x14ac:dyDescent="0.3">
      <c r="A752" s="1"/>
      <c r="B752" s="1"/>
      <c r="C752" s="157"/>
      <c r="D752" s="157"/>
      <c r="E752" s="157"/>
      <c r="F752" s="157"/>
      <c r="G752" s="157"/>
      <c r="H752" s="157"/>
      <c r="J752" t="str">
        <f t="shared" si="11"/>
        <v/>
      </c>
    </row>
    <row r="753" spans="1:10" x14ac:dyDescent="0.3">
      <c r="A753" s="1"/>
      <c r="B753" s="1"/>
      <c r="C753" s="157"/>
      <c r="D753" s="157"/>
      <c r="E753" s="157"/>
      <c r="F753" s="157"/>
      <c r="G753" s="157"/>
      <c r="H753" s="157"/>
      <c r="J753" t="str">
        <f t="shared" si="11"/>
        <v/>
      </c>
    </row>
    <row r="754" spans="1:10" x14ac:dyDescent="0.3">
      <c r="A754" s="1"/>
      <c r="B754" s="1"/>
      <c r="C754" s="157"/>
      <c r="D754" s="157"/>
      <c r="E754" s="157"/>
      <c r="F754" s="157"/>
      <c r="G754" s="157"/>
      <c r="H754" s="157"/>
      <c r="J754" t="str">
        <f t="shared" si="11"/>
        <v/>
      </c>
    </row>
    <row r="755" spans="1:10" x14ac:dyDescent="0.3">
      <c r="A755" s="1"/>
      <c r="B755" s="1"/>
      <c r="C755" s="157"/>
      <c r="D755" s="157"/>
      <c r="E755" s="157"/>
      <c r="F755" s="157"/>
      <c r="G755" s="157"/>
      <c r="H755" s="157"/>
      <c r="J755" t="str">
        <f t="shared" si="11"/>
        <v/>
      </c>
    </row>
    <row r="756" spans="1:10" x14ac:dyDescent="0.3">
      <c r="A756" s="1"/>
      <c r="B756" s="1"/>
      <c r="C756" s="157"/>
      <c r="D756" s="157"/>
      <c r="E756" s="157"/>
      <c r="F756" s="157"/>
      <c r="G756" s="157"/>
      <c r="H756" s="157"/>
      <c r="J756" t="str">
        <f t="shared" si="11"/>
        <v/>
      </c>
    </row>
    <row r="757" spans="1:10" x14ac:dyDescent="0.3">
      <c r="A757" s="1"/>
      <c r="B757" s="1"/>
      <c r="C757" s="157"/>
      <c r="D757" s="157"/>
      <c r="E757" s="157"/>
      <c r="F757" s="157"/>
      <c r="G757" s="157"/>
      <c r="H757" s="157"/>
      <c r="J757" t="str">
        <f t="shared" si="11"/>
        <v/>
      </c>
    </row>
    <row r="758" spans="1:10" x14ac:dyDescent="0.3">
      <c r="A758" s="1"/>
      <c r="B758" s="1"/>
      <c r="C758" s="157"/>
      <c r="D758" s="157"/>
      <c r="E758" s="157"/>
      <c r="F758" s="157"/>
      <c r="G758" s="157"/>
      <c r="H758" s="157"/>
      <c r="J758" t="str">
        <f t="shared" si="11"/>
        <v/>
      </c>
    </row>
    <row r="759" spans="1:10" x14ac:dyDescent="0.3">
      <c r="A759" s="1"/>
      <c r="B759" s="1"/>
      <c r="C759" s="157"/>
      <c r="D759" s="157"/>
      <c r="E759" s="157"/>
      <c r="F759" s="157"/>
      <c r="G759" s="157"/>
      <c r="H759" s="157"/>
      <c r="J759" t="str">
        <f t="shared" si="11"/>
        <v/>
      </c>
    </row>
    <row r="760" spans="1:10" x14ac:dyDescent="0.3">
      <c r="A760" s="1"/>
      <c r="B760" s="1"/>
      <c r="C760" s="157"/>
      <c r="D760" s="157"/>
      <c r="E760" s="157"/>
      <c r="F760" s="157"/>
      <c r="G760" s="157"/>
      <c r="H760" s="157"/>
      <c r="J760" t="str">
        <f t="shared" si="11"/>
        <v/>
      </c>
    </row>
    <row r="761" spans="1:10" x14ac:dyDescent="0.3">
      <c r="A761" s="1"/>
      <c r="B761" s="1"/>
      <c r="C761" s="157"/>
      <c r="D761" s="157"/>
      <c r="E761" s="157"/>
      <c r="F761" s="157"/>
      <c r="G761" s="157"/>
      <c r="H761" s="157"/>
      <c r="J761" t="str">
        <f t="shared" si="11"/>
        <v/>
      </c>
    </row>
    <row r="762" spans="1:10" x14ac:dyDescent="0.3">
      <c r="A762" s="1"/>
      <c r="B762" s="1"/>
      <c r="C762" s="157"/>
      <c r="D762" s="157"/>
      <c r="E762" s="157"/>
      <c r="F762" s="157"/>
      <c r="G762" s="157"/>
      <c r="H762" s="157"/>
      <c r="J762" t="str">
        <f t="shared" si="11"/>
        <v/>
      </c>
    </row>
    <row r="763" spans="1:10" x14ac:dyDescent="0.3">
      <c r="A763" s="1"/>
      <c r="B763" s="1"/>
      <c r="C763" s="157"/>
      <c r="D763" s="157"/>
      <c r="E763" s="157"/>
      <c r="F763" s="157"/>
      <c r="G763" s="157"/>
      <c r="H763" s="157"/>
      <c r="J763" t="str">
        <f t="shared" si="11"/>
        <v/>
      </c>
    </row>
    <row r="764" spans="1:10" x14ac:dyDescent="0.3">
      <c r="A764" s="1"/>
      <c r="B764" s="1"/>
      <c r="C764" s="157"/>
      <c r="D764" s="157"/>
      <c r="E764" s="157"/>
      <c r="F764" s="157"/>
      <c r="G764" s="157"/>
      <c r="H764" s="157"/>
      <c r="J764" t="str">
        <f t="shared" si="11"/>
        <v/>
      </c>
    </row>
    <row r="765" spans="1:10" x14ac:dyDescent="0.3">
      <c r="A765" s="1"/>
      <c r="B765" s="1"/>
      <c r="C765" s="157"/>
      <c r="D765" s="157"/>
      <c r="E765" s="157"/>
      <c r="F765" s="157"/>
      <c r="G765" s="157"/>
      <c r="H765" s="157"/>
      <c r="J765" t="str">
        <f t="shared" si="11"/>
        <v/>
      </c>
    </row>
    <row r="766" spans="1:10" x14ac:dyDescent="0.3">
      <c r="A766" s="1"/>
      <c r="B766" s="1"/>
      <c r="C766" s="157"/>
      <c r="D766" s="157"/>
      <c r="E766" s="157"/>
      <c r="F766" s="157"/>
      <c r="G766" s="157"/>
      <c r="H766" s="157"/>
      <c r="J766" t="str">
        <f t="shared" si="11"/>
        <v/>
      </c>
    </row>
    <row r="767" spans="1:10" x14ac:dyDescent="0.3">
      <c r="A767" s="1"/>
      <c r="B767" s="1"/>
      <c r="C767" s="157"/>
      <c r="D767" s="157"/>
      <c r="E767" s="157"/>
      <c r="F767" s="157"/>
      <c r="G767" s="157"/>
      <c r="H767" s="157"/>
      <c r="J767" t="str">
        <f t="shared" si="11"/>
        <v/>
      </c>
    </row>
    <row r="768" spans="1:10" x14ac:dyDescent="0.3">
      <c r="A768" s="1"/>
      <c r="B768" s="1"/>
      <c r="C768" s="157"/>
      <c r="D768" s="157"/>
      <c r="E768" s="157"/>
      <c r="F768" s="157"/>
      <c r="G768" s="157"/>
      <c r="H768" s="157"/>
      <c r="J768" t="str">
        <f t="shared" si="11"/>
        <v/>
      </c>
    </row>
    <row r="769" spans="1:10" x14ac:dyDescent="0.3">
      <c r="A769" s="1"/>
      <c r="B769" s="1"/>
      <c r="C769" s="157"/>
      <c r="D769" s="157"/>
      <c r="E769" s="157"/>
      <c r="F769" s="157"/>
      <c r="G769" s="157"/>
      <c r="H769" s="157"/>
      <c r="J769" t="str">
        <f t="shared" si="11"/>
        <v/>
      </c>
    </row>
    <row r="770" spans="1:10" x14ac:dyDescent="0.3">
      <c r="A770" s="1"/>
      <c r="B770" s="1"/>
      <c r="C770" s="157"/>
      <c r="D770" s="157"/>
      <c r="E770" s="157"/>
      <c r="F770" s="157"/>
      <c r="G770" s="157"/>
      <c r="H770" s="157"/>
      <c r="J770" t="str">
        <f t="shared" ref="J770:J833" si="12">IF(B770 &lt;&gt; "",(IF(C770&lt;&gt;"",CONCATENATE(A770, " ", B770,"  - ",C770,IF(D770&lt;&gt;"","/",""),D770),CONCATENATE(A770, " ",B770,IF(D770&lt;&gt;"","  - ",""),D770))),"")</f>
        <v/>
      </c>
    </row>
    <row r="771" spans="1:10" x14ac:dyDescent="0.3">
      <c r="A771" s="1"/>
      <c r="B771" s="1"/>
      <c r="C771" s="157"/>
      <c r="D771" s="157"/>
      <c r="E771" s="157"/>
      <c r="F771" s="157"/>
      <c r="G771" s="157"/>
      <c r="H771" s="157"/>
      <c r="J771" t="str">
        <f t="shared" si="12"/>
        <v/>
      </c>
    </row>
    <row r="772" spans="1:10" x14ac:dyDescent="0.3">
      <c r="A772" s="1"/>
      <c r="B772" s="1"/>
      <c r="C772" s="157"/>
      <c r="D772" s="157"/>
      <c r="E772" s="157"/>
      <c r="F772" s="157"/>
      <c r="G772" s="157"/>
      <c r="H772" s="157"/>
      <c r="J772" t="str">
        <f t="shared" si="12"/>
        <v/>
      </c>
    </row>
    <row r="773" spans="1:10" x14ac:dyDescent="0.3">
      <c r="A773" s="1"/>
      <c r="B773" s="1"/>
      <c r="C773" s="157"/>
      <c r="D773" s="157"/>
      <c r="E773" s="157"/>
      <c r="F773" s="157"/>
      <c r="G773" s="157"/>
      <c r="H773" s="157"/>
      <c r="J773" t="str">
        <f t="shared" si="12"/>
        <v/>
      </c>
    </row>
    <row r="774" spans="1:10" x14ac:dyDescent="0.3">
      <c r="A774" s="1"/>
      <c r="B774" s="1"/>
      <c r="C774" s="157"/>
      <c r="D774" s="157"/>
      <c r="E774" s="157"/>
      <c r="F774" s="157"/>
      <c r="G774" s="157"/>
      <c r="H774" s="157"/>
      <c r="J774" t="str">
        <f t="shared" si="12"/>
        <v/>
      </c>
    </row>
    <row r="775" spans="1:10" x14ac:dyDescent="0.3">
      <c r="A775" s="1"/>
      <c r="B775" s="1"/>
      <c r="C775" s="157"/>
      <c r="D775" s="157"/>
      <c r="E775" s="157"/>
      <c r="F775" s="157"/>
      <c r="G775" s="157"/>
      <c r="H775" s="157"/>
      <c r="J775" t="str">
        <f t="shared" si="12"/>
        <v/>
      </c>
    </row>
    <row r="776" spans="1:10" x14ac:dyDescent="0.3">
      <c r="A776" s="1"/>
      <c r="B776" s="1"/>
      <c r="C776" s="157"/>
      <c r="D776" s="157"/>
      <c r="E776" s="157"/>
      <c r="F776" s="157"/>
      <c r="G776" s="157"/>
      <c r="H776" s="157"/>
      <c r="J776" t="str">
        <f t="shared" si="12"/>
        <v/>
      </c>
    </row>
    <row r="777" spans="1:10" x14ac:dyDescent="0.3">
      <c r="A777" s="1"/>
      <c r="B777" s="1"/>
      <c r="C777" s="157"/>
      <c r="D777" s="157"/>
      <c r="E777" s="157"/>
      <c r="F777" s="157"/>
      <c r="G777" s="157"/>
      <c r="H777" s="157"/>
      <c r="J777" t="str">
        <f t="shared" si="12"/>
        <v/>
      </c>
    </row>
    <row r="778" spans="1:10" x14ac:dyDescent="0.3">
      <c r="A778" s="1"/>
      <c r="B778" s="1"/>
      <c r="C778" s="157"/>
      <c r="D778" s="157"/>
      <c r="E778" s="157"/>
      <c r="F778" s="157"/>
      <c r="G778" s="157"/>
      <c r="H778" s="157"/>
      <c r="J778" t="str">
        <f t="shared" si="12"/>
        <v/>
      </c>
    </row>
    <row r="779" spans="1:10" x14ac:dyDescent="0.3">
      <c r="A779" s="1"/>
      <c r="B779" s="1"/>
      <c r="C779" s="157"/>
      <c r="D779" s="157"/>
      <c r="E779" s="157"/>
      <c r="F779" s="157"/>
      <c r="G779" s="157"/>
      <c r="H779" s="157"/>
      <c r="J779" t="str">
        <f t="shared" si="12"/>
        <v/>
      </c>
    </row>
    <row r="780" spans="1:10" x14ac:dyDescent="0.3">
      <c r="A780" s="1"/>
      <c r="B780" s="1"/>
      <c r="C780" s="157"/>
      <c r="D780" s="157"/>
      <c r="E780" s="157"/>
      <c r="F780" s="157"/>
      <c r="G780" s="157"/>
      <c r="H780" s="157"/>
      <c r="J780" t="str">
        <f t="shared" si="12"/>
        <v/>
      </c>
    </row>
    <row r="781" spans="1:10" x14ac:dyDescent="0.3">
      <c r="A781" s="1"/>
      <c r="B781" s="1"/>
      <c r="C781" s="157"/>
      <c r="D781" s="157"/>
      <c r="E781" s="157"/>
      <c r="F781" s="157"/>
      <c r="G781" s="157"/>
      <c r="H781" s="157"/>
      <c r="J781" t="str">
        <f t="shared" si="12"/>
        <v/>
      </c>
    </row>
    <row r="782" spans="1:10" x14ac:dyDescent="0.3">
      <c r="A782" s="1"/>
      <c r="B782" s="1"/>
      <c r="C782" s="157"/>
      <c r="D782" s="157"/>
      <c r="E782" s="157"/>
      <c r="F782" s="157"/>
      <c r="G782" s="157"/>
      <c r="H782" s="157"/>
      <c r="J782" t="str">
        <f t="shared" si="12"/>
        <v/>
      </c>
    </row>
    <row r="783" spans="1:10" x14ac:dyDescent="0.3">
      <c r="A783" s="1"/>
      <c r="B783" s="1"/>
      <c r="C783" s="157"/>
      <c r="D783" s="157"/>
      <c r="E783" s="157"/>
      <c r="F783" s="157"/>
      <c r="G783" s="157"/>
      <c r="H783" s="157"/>
      <c r="J783" t="str">
        <f t="shared" si="12"/>
        <v/>
      </c>
    </row>
    <row r="784" spans="1:10" x14ac:dyDescent="0.3">
      <c r="A784" s="1"/>
      <c r="B784" s="1"/>
      <c r="C784" s="157"/>
      <c r="D784" s="157"/>
      <c r="E784" s="157"/>
      <c r="F784" s="157"/>
      <c r="G784" s="157"/>
      <c r="H784" s="157"/>
      <c r="J784" t="str">
        <f t="shared" si="12"/>
        <v/>
      </c>
    </row>
    <row r="785" spans="1:10" x14ac:dyDescent="0.3">
      <c r="A785" s="1"/>
      <c r="B785" s="1"/>
      <c r="C785" s="157"/>
      <c r="D785" s="157"/>
      <c r="E785" s="157"/>
      <c r="F785" s="157"/>
      <c r="G785" s="157"/>
      <c r="H785" s="157"/>
      <c r="J785" t="str">
        <f t="shared" si="12"/>
        <v/>
      </c>
    </row>
    <row r="786" spans="1:10" x14ac:dyDescent="0.3">
      <c r="A786" s="1"/>
      <c r="B786" s="1"/>
      <c r="C786" s="157"/>
      <c r="D786" s="157"/>
      <c r="E786" s="157"/>
      <c r="F786" s="157"/>
      <c r="G786" s="157"/>
      <c r="H786" s="157"/>
      <c r="J786" t="str">
        <f t="shared" si="12"/>
        <v/>
      </c>
    </row>
    <row r="787" spans="1:10" x14ac:dyDescent="0.3">
      <c r="A787" s="1"/>
      <c r="B787" s="1"/>
      <c r="C787" s="157"/>
      <c r="D787" s="157"/>
      <c r="E787" s="157"/>
      <c r="F787" s="157"/>
      <c r="G787" s="157"/>
      <c r="H787" s="157"/>
      <c r="J787" t="str">
        <f t="shared" si="12"/>
        <v/>
      </c>
    </row>
    <row r="788" spans="1:10" x14ac:dyDescent="0.3">
      <c r="A788" s="1"/>
      <c r="B788" s="1"/>
      <c r="C788" s="157"/>
      <c r="D788" s="157"/>
      <c r="E788" s="157"/>
      <c r="F788" s="157"/>
      <c r="G788" s="157"/>
      <c r="H788" s="157"/>
      <c r="J788" t="str">
        <f t="shared" si="12"/>
        <v/>
      </c>
    </row>
    <row r="789" spans="1:10" x14ac:dyDescent="0.3">
      <c r="A789" s="1"/>
      <c r="B789" s="1"/>
      <c r="C789" s="157"/>
      <c r="D789" s="157"/>
      <c r="E789" s="157"/>
      <c r="F789" s="157"/>
      <c r="G789" s="157"/>
      <c r="H789" s="157"/>
      <c r="J789" t="str">
        <f t="shared" si="12"/>
        <v/>
      </c>
    </row>
    <row r="790" spans="1:10" x14ac:dyDescent="0.3">
      <c r="A790" s="1"/>
      <c r="B790" s="1"/>
      <c r="C790" s="157"/>
      <c r="D790" s="157"/>
      <c r="E790" s="157"/>
      <c r="F790" s="157"/>
      <c r="G790" s="157"/>
      <c r="H790" s="157"/>
      <c r="J790" t="str">
        <f t="shared" si="12"/>
        <v/>
      </c>
    </row>
    <row r="791" spans="1:10" x14ac:dyDescent="0.3">
      <c r="A791" s="1"/>
      <c r="B791" s="1"/>
      <c r="C791" s="157"/>
      <c r="D791" s="157"/>
      <c r="E791" s="157"/>
      <c r="F791" s="157"/>
      <c r="G791" s="157"/>
      <c r="H791" s="157"/>
      <c r="J791" t="str">
        <f t="shared" si="12"/>
        <v/>
      </c>
    </row>
    <row r="792" spans="1:10" x14ac:dyDescent="0.3">
      <c r="A792" s="1"/>
      <c r="B792" s="1"/>
      <c r="C792" s="157"/>
      <c r="D792" s="157"/>
      <c r="E792" s="157"/>
      <c r="F792" s="157"/>
      <c r="G792" s="157"/>
      <c r="H792" s="157"/>
      <c r="J792" t="str">
        <f t="shared" si="12"/>
        <v/>
      </c>
    </row>
    <row r="793" spans="1:10" x14ac:dyDescent="0.3">
      <c r="A793" s="1"/>
      <c r="B793" s="1"/>
      <c r="C793" s="157"/>
      <c r="D793" s="157"/>
      <c r="E793" s="157"/>
      <c r="F793" s="157"/>
      <c r="G793" s="157"/>
      <c r="H793" s="157"/>
      <c r="J793" t="str">
        <f t="shared" si="12"/>
        <v/>
      </c>
    </row>
    <row r="794" spans="1:10" x14ac:dyDescent="0.3">
      <c r="A794" s="1"/>
      <c r="B794" s="1"/>
      <c r="C794" s="157"/>
      <c r="D794" s="157"/>
      <c r="E794" s="157"/>
      <c r="F794" s="157"/>
      <c r="G794" s="157"/>
      <c r="H794" s="157"/>
      <c r="J794" t="str">
        <f t="shared" si="12"/>
        <v/>
      </c>
    </row>
    <row r="795" spans="1:10" x14ac:dyDescent="0.3">
      <c r="A795" s="1"/>
      <c r="B795" s="1"/>
      <c r="C795" s="157"/>
      <c r="D795" s="157"/>
      <c r="E795" s="157"/>
      <c r="F795" s="157"/>
      <c r="G795" s="157"/>
      <c r="H795" s="157"/>
      <c r="J795" t="str">
        <f t="shared" si="12"/>
        <v/>
      </c>
    </row>
    <row r="796" spans="1:10" x14ac:dyDescent="0.3">
      <c r="A796" s="1"/>
      <c r="B796" s="1"/>
      <c r="C796" s="157"/>
      <c r="D796" s="157"/>
      <c r="E796" s="157"/>
      <c r="F796" s="157"/>
      <c r="G796" s="157"/>
      <c r="H796" s="157"/>
      <c r="J796" t="str">
        <f t="shared" si="12"/>
        <v/>
      </c>
    </row>
    <row r="797" spans="1:10" x14ac:dyDescent="0.3">
      <c r="A797" s="1"/>
      <c r="B797" s="1"/>
      <c r="C797" s="157"/>
      <c r="D797" s="157"/>
      <c r="E797" s="157"/>
      <c r="F797" s="157"/>
      <c r="G797" s="157"/>
      <c r="H797" s="157"/>
      <c r="J797" t="str">
        <f t="shared" si="12"/>
        <v/>
      </c>
    </row>
    <row r="798" spans="1:10" x14ac:dyDescent="0.3">
      <c r="A798" s="1"/>
      <c r="B798" s="1"/>
      <c r="C798" s="157"/>
      <c r="D798" s="157"/>
      <c r="E798" s="157"/>
      <c r="F798" s="157"/>
      <c r="G798" s="157"/>
      <c r="H798" s="157"/>
      <c r="J798" t="str">
        <f t="shared" si="12"/>
        <v/>
      </c>
    </row>
    <row r="799" spans="1:10" x14ac:dyDescent="0.3">
      <c r="A799" s="1"/>
      <c r="B799" s="1"/>
      <c r="C799" s="157"/>
      <c r="D799" s="157"/>
      <c r="E799" s="157"/>
      <c r="F799" s="157"/>
      <c r="G799" s="157"/>
      <c r="H799" s="157"/>
      <c r="J799" t="str">
        <f t="shared" si="12"/>
        <v/>
      </c>
    </row>
    <row r="800" spans="1:10" x14ac:dyDescent="0.3">
      <c r="A800" s="1"/>
      <c r="B800" s="1"/>
      <c r="C800" s="157"/>
      <c r="D800" s="157"/>
      <c r="E800" s="157"/>
      <c r="F800" s="157"/>
      <c r="G800" s="157"/>
      <c r="H800" s="157"/>
      <c r="J800" t="str">
        <f t="shared" si="12"/>
        <v/>
      </c>
    </row>
    <row r="801" spans="1:10" x14ac:dyDescent="0.3">
      <c r="A801" s="1"/>
      <c r="B801" s="1"/>
      <c r="C801" s="157"/>
      <c r="D801" s="157"/>
      <c r="E801" s="157"/>
      <c r="F801" s="157"/>
      <c r="G801" s="157"/>
      <c r="H801" s="157"/>
      <c r="J801" t="str">
        <f t="shared" si="12"/>
        <v/>
      </c>
    </row>
    <row r="802" spans="1:10" x14ac:dyDescent="0.3">
      <c r="A802" s="1"/>
      <c r="B802" s="1"/>
      <c r="C802" s="157"/>
      <c r="D802" s="157"/>
      <c r="E802" s="157"/>
      <c r="F802" s="157"/>
      <c r="G802" s="157"/>
      <c r="H802" s="157"/>
      <c r="J802" t="str">
        <f t="shared" si="12"/>
        <v/>
      </c>
    </row>
    <row r="803" spans="1:10" x14ac:dyDescent="0.3">
      <c r="A803" s="1"/>
      <c r="B803" s="1"/>
      <c r="C803" s="157"/>
      <c r="D803" s="157"/>
      <c r="E803" s="157"/>
      <c r="F803" s="157"/>
      <c r="G803" s="157"/>
      <c r="H803" s="157"/>
      <c r="J803" t="str">
        <f t="shared" si="12"/>
        <v/>
      </c>
    </row>
    <row r="804" spans="1:10" x14ac:dyDescent="0.3">
      <c r="A804" s="1"/>
      <c r="B804" s="1"/>
      <c r="C804" s="157"/>
      <c r="D804" s="157"/>
      <c r="E804" s="157"/>
      <c r="F804" s="157"/>
      <c r="G804" s="157"/>
      <c r="H804" s="157"/>
      <c r="J804" t="str">
        <f t="shared" si="12"/>
        <v/>
      </c>
    </row>
    <row r="805" spans="1:10" x14ac:dyDescent="0.3">
      <c r="A805" s="1"/>
      <c r="B805" s="1"/>
      <c r="C805" s="157"/>
      <c r="D805" s="157"/>
      <c r="E805" s="157"/>
      <c r="F805" s="157"/>
      <c r="G805" s="157"/>
      <c r="H805" s="157"/>
      <c r="J805" t="str">
        <f t="shared" si="12"/>
        <v/>
      </c>
    </row>
    <row r="806" spans="1:10" x14ac:dyDescent="0.3">
      <c r="A806" s="1"/>
      <c r="B806" s="1"/>
      <c r="C806" s="157"/>
      <c r="D806" s="157"/>
      <c r="E806" s="157"/>
      <c r="F806" s="157"/>
      <c r="G806" s="157"/>
      <c r="H806" s="157"/>
      <c r="J806" t="str">
        <f t="shared" si="12"/>
        <v/>
      </c>
    </row>
    <row r="807" spans="1:10" x14ac:dyDescent="0.3">
      <c r="A807" s="1"/>
      <c r="B807" s="1"/>
      <c r="C807" s="157"/>
      <c r="D807" s="157"/>
      <c r="E807" s="157"/>
      <c r="F807" s="157"/>
      <c r="G807" s="157"/>
      <c r="H807" s="157"/>
      <c r="J807" t="str">
        <f t="shared" si="12"/>
        <v/>
      </c>
    </row>
    <row r="808" spans="1:10" x14ac:dyDescent="0.3">
      <c r="A808" s="1"/>
      <c r="B808" s="1"/>
      <c r="C808" s="157"/>
      <c r="D808" s="157"/>
      <c r="E808" s="157"/>
      <c r="F808" s="157"/>
      <c r="G808" s="157"/>
      <c r="H808" s="157"/>
      <c r="J808" t="str">
        <f t="shared" si="12"/>
        <v/>
      </c>
    </row>
    <row r="809" spans="1:10" x14ac:dyDescent="0.3">
      <c r="A809" s="1"/>
      <c r="B809" s="1"/>
      <c r="C809" s="157"/>
      <c r="D809" s="157"/>
      <c r="E809" s="157"/>
      <c r="F809" s="157"/>
      <c r="G809" s="157"/>
      <c r="H809" s="157"/>
      <c r="J809" t="str">
        <f t="shared" si="12"/>
        <v/>
      </c>
    </row>
    <row r="810" spans="1:10" x14ac:dyDescent="0.3">
      <c r="A810" s="1"/>
      <c r="B810" s="1"/>
      <c r="C810" s="157"/>
      <c r="D810" s="157"/>
      <c r="E810" s="157"/>
      <c r="F810" s="157"/>
      <c r="G810" s="157"/>
      <c r="H810" s="157"/>
      <c r="J810" t="str">
        <f t="shared" si="12"/>
        <v/>
      </c>
    </row>
    <row r="811" spans="1:10" x14ac:dyDescent="0.3">
      <c r="A811" s="1"/>
      <c r="B811" s="1"/>
      <c r="C811" s="157"/>
      <c r="D811" s="157"/>
      <c r="E811" s="157"/>
      <c r="F811" s="157"/>
      <c r="G811" s="157"/>
      <c r="H811" s="157"/>
      <c r="J811" t="str">
        <f t="shared" si="12"/>
        <v/>
      </c>
    </row>
    <row r="812" spans="1:10" x14ac:dyDescent="0.3">
      <c r="A812" s="1"/>
      <c r="B812" s="1"/>
      <c r="C812" s="157"/>
      <c r="D812" s="157"/>
      <c r="E812" s="157"/>
      <c r="F812" s="157"/>
      <c r="G812" s="157"/>
      <c r="H812" s="157"/>
      <c r="J812" t="str">
        <f t="shared" si="12"/>
        <v/>
      </c>
    </row>
    <row r="813" spans="1:10" x14ac:dyDescent="0.3">
      <c r="A813" s="1"/>
      <c r="B813" s="1"/>
      <c r="C813" s="157"/>
      <c r="D813" s="157"/>
      <c r="E813" s="157"/>
      <c r="F813" s="157"/>
      <c r="G813" s="157"/>
      <c r="H813" s="157"/>
      <c r="J813" t="str">
        <f t="shared" si="12"/>
        <v/>
      </c>
    </row>
    <row r="814" spans="1:10" x14ac:dyDescent="0.3">
      <c r="A814" s="1"/>
      <c r="B814" s="1"/>
      <c r="C814" s="157"/>
      <c r="D814" s="157"/>
      <c r="E814" s="157"/>
      <c r="F814" s="157"/>
      <c r="G814" s="157"/>
      <c r="H814" s="157"/>
      <c r="J814" t="str">
        <f t="shared" si="12"/>
        <v/>
      </c>
    </row>
    <row r="815" spans="1:10" x14ac:dyDescent="0.3">
      <c r="A815" s="1"/>
      <c r="B815" s="1"/>
      <c r="C815" s="157"/>
      <c r="D815" s="157"/>
      <c r="E815" s="157"/>
      <c r="F815" s="157"/>
      <c r="G815" s="157"/>
      <c r="H815" s="157"/>
      <c r="J815" t="str">
        <f t="shared" si="12"/>
        <v/>
      </c>
    </row>
    <row r="816" spans="1:10" x14ac:dyDescent="0.3">
      <c r="A816" s="1"/>
      <c r="B816" s="1"/>
      <c r="C816" s="157"/>
      <c r="D816" s="157"/>
      <c r="E816" s="157"/>
      <c r="F816" s="157"/>
      <c r="G816" s="157"/>
      <c r="H816" s="157"/>
      <c r="J816" t="str">
        <f t="shared" si="12"/>
        <v/>
      </c>
    </row>
    <row r="817" spans="1:10" x14ac:dyDescent="0.3">
      <c r="A817" s="1"/>
      <c r="B817" s="1"/>
      <c r="C817" s="157"/>
      <c r="D817" s="157"/>
      <c r="E817" s="157"/>
      <c r="F817" s="157"/>
      <c r="G817" s="157"/>
      <c r="H817" s="157"/>
      <c r="J817" t="str">
        <f t="shared" si="12"/>
        <v/>
      </c>
    </row>
    <row r="818" spans="1:10" x14ac:dyDescent="0.3">
      <c r="A818" s="1"/>
      <c r="B818" s="1"/>
      <c r="C818" s="157"/>
      <c r="D818" s="157"/>
      <c r="E818" s="157"/>
      <c r="F818" s="157"/>
      <c r="G818" s="157"/>
      <c r="H818" s="157"/>
      <c r="J818" t="str">
        <f t="shared" si="12"/>
        <v/>
      </c>
    </row>
    <row r="819" spans="1:10" x14ac:dyDescent="0.3">
      <c r="A819" s="1"/>
      <c r="B819" s="1"/>
      <c r="C819" s="157"/>
      <c r="D819" s="157"/>
      <c r="E819" s="157"/>
      <c r="F819" s="157"/>
      <c r="G819" s="157"/>
      <c r="H819" s="157"/>
      <c r="J819" t="str">
        <f t="shared" si="12"/>
        <v/>
      </c>
    </row>
    <row r="820" spans="1:10" x14ac:dyDescent="0.3">
      <c r="A820" s="1"/>
      <c r="B820" s="1"/>
      <c r="C820" s="157"/>
      <c r="D820" s="157"/>
      <c r="E820" s="157"/>
      <c r="F820" s="157"/>
      <c r="G820" s="157"/>
      <c r="H820" s="157"/>
      <c r="J820" t="str">
        <f t="shared" si="12"/>
        <v/>
      </c>
    </row>
    <row r="821" spans="1:10" x14ac:dyDescent="0.3">
      <c r="A821" s="1"/>
      <c r="B821" s="1"/>
      <c r="C821" s="157"/>
      <c r="D821" s="157"/>
      <c r="E821" s="157"/>
      <c r="F821" s="157"/>
      <c r="G821" s="157"/>
      <c r="H821" s="157"/>
      <c r="J821" t="str">
        <f t="shared" si="12"/>
        <v/>
      </c>
    </row>
    <row r="822" spans="1:10" x14ac:dyDescent="0.3">
      <c r="A822" s="1"/>
      <c r="B822" s="1"/>
      <c r="C822" s="157"/>
      <c r="D822" s="157"/>
      <c r="E822" s="157"/>
      <c r="F822" s="157"/>
      <c r="G822" s="157"/>
      <c r="H822" s="157"/>
      <c r="J822" t="str">
        <f t="shared" si="12"/>
        <v/>
      </c>
    </row>
    <row r="823" spans="1:10" x14ac:dyDescent="0.3">
      <c r="A823" s="1"/>
      <c r="B823" s="1"/>
      <c r="C823" s="157"/>
      <c r="D823" s="157"/>
      <c r="E823" s="157"/>
      <c r="F823" s="157"/>
      <c r="G823" s="157"/>
      <c r="H823" s="157"/>
      <c r="J823" t="str">
        <f t="shared" si="12"/>
        <v/>
      </c>
    </row>
    <row r="824" spans="1:10" x14ac:dyDescent="0.3">
      <c r="A824" s="1"/>
      <c r="B824" s="1"/>
      <c r="C824" s="157"/>
      <c r="D824" s="157"/>
      <c r="E824" s="157"/>
      <c r="F824" s="157"/>
      <c r="G824" s="157"/>
      <c r="H824" s="157"/>
      <c r="J824" t="str">
        <f t="shared" si="12"/>
        <v/>
      </c>
    </row>
    <row r="825" spans="1:10" x14ac:dyDescent="0.3">
      <c r="A825" s="1"/>
      <c r="B825" s="1"/>
      <c r="C825" s="157"/>
      <c r="D825" s="157"/>
      <c r="E825" s="157"/>
      <c r="F825" s="157"/>
      <c r="G825" s="157"/>
      <c r="H825" s="157"/>
      <c r="J825" t="str">
        <f t="shared" si="12"/>
        <v/>
      </c>
    </row>
    <row r="826" spans="1:10" x14ac:dyDescent="0.3">
      <c r="A826" s="1"/>
      <c r="B826" s="1"/>
      <c r="C826" s="157"/>
      <c r="D826" s="157"/>
      <c r="E826" s="157"/>
      <c r="F826" s="157"/>
      <c r="G826" s="157"/>
      <c r="H826" s="157"/>
      <c r="J826" t="str">
        <f t="shared" si="12"/>
        <v/>
      </c>
    </row>
    <row r="827" spans="1:10" x14ac:dyDescent="0.3">
      <c r="A827" s="1"/>
      <c r="B827" s="1"/>
      <c r="C827" s="157"/>
      <c r="D827" s="157"/>
      <c r="E827" s="157"/>
      <c r="F827" s="157"/>
      <c r="G827" s="157"/>
      <c r="H827" s="157"/>
      <c r="J827" t="str">
        <f t="shared" si="12"/>
        <v/>
      </c>
    </row>
    <row r="828" spans="1:10" x14ac:dyDescent="0.3">
      <c r="A828" s="1"/>
      <c r="B828" s="1"/>
      <c r="C828" s="157"/>
      <c r="D828" s="157"/>
      <c r="E828" s="157"/>
      <c r="F828" s="157"/>
      <c r="G828" s="157"/>
      <c r="H828" s="157"/>
      <c r="J828" t="str">
        <f t="shared" si="12"/>
        <v/>
      </c>
    </row>
    <row r="829" spans="1:10" x14ac:dyDescent="0.3">
      <c r="A829" s="1"/>
      <c r="B829" s="1"/>
      <c r="C829" s="157"/>
      <c r="D829" s="157"/>
      <c r="E829" s="157"/>
      <c r="F829" s="157"/>
      <c r="G829" s="157"/>
      <c r="H829" s="157"/>
      <c r="J829" t="str">
        <f t="shared" si="12"/>
        <v/>
      </c>
    </row>
    <row r="830" spans="1:10" x14ac:dyDescent="0.3">
      <c r="A830" s="1"/>
      <c r="B830" s="1"/>
      <c r="C830" s="157"/>
      <c r="D830" s="157"/>
      <c r="E830" s="157"/>
      <c r="F830" s="157"/>
      <c r="G830" s="157"/>
      <c r="H830" s="157"/>
      <c r="J830" t="str">
        <f t="shared" si="12"/>
        <v/>
      </c>
    </row>
    <row r="831" spans="1:10" x14ac:dyDescent="0.3">
      <c r="A831" s="1"/>
      <c r="B831" s="1"/>
      <c r="C831" s="157"/>
      <c r="D831" s="157"/>
      <c r="E831" s="157"/>
      <c r="F831" s="157"/>
      <c r="G831" s="157"/>
      <c r="H831" s="157"/>
      <c r="J831" t="str">
        <f t="shared" si="12"/>
        <v/>
      </c>
    </row>
    <row r="832" spans="1:10" x14ac:dyDescent="0.3">
      <c r="A832" s="1"/>
      <c r="B832" s="1"/>
      <c r="C832" s="157"/>
      <c r="D832" s="157"/>
      <c r="E832" s="157"/>
      <c r="F832" s="157"/>
      <c r="G832" s="157"/>
      <c r="H832" s="157"/>
      <c r="J832" t="str">
        <f t="shared" si="12"/>
        <v/>
      </c>
    </row>
    <row r="833" spans="1:10" x14ac:dyDescent="0.3">
      <c r="A833" s="1"/>
      <c r="B833" s="1"/>
      <c r="C833" s="157"/>
      <c r="D833" s="157"/>
      <c r="E833" s="157"/>
      <c r="F833" s="157"/>
      <c r="G833" s="157"/>
      <c r="H833" s="157"/>
      <c r="J833" t="str">
        <f t="shared" si="12"/>
        <v/>
      </c>
    </row>
    <row r="834" spans="1:10" x14ac:dyDescent="0.3">
      <c r="A834" s="1"/>
      <c r="B834" s="1"/>
      <c r="C834" s="157"/>
      <c r="D834" s="157"/>
      <c r="E834" s="157"/>
      <c r="F834" s="157"/>
      <c r="G834" s="157"/>
      <c r="H834" s="157"/>
      <c r="J834" t="str">
        <f t="shared" ref="J834:J897" si="13">IF(B834 &lt;&gt; "",(IF(C834&lt;&gt;"",CONCATENATE(A834, " ", B834,"  - ",C834,IF(D834&lt;&gt;"","/",""),D834),CONCATENATE(A834, " ",B834,IF(D834&lt;&gt;"","  - ",""),D834))),"")</f>
        <v/>
      </c>
    </row>
    <row r="835" spans="1:10" x14ac:dyDescent="0.3">
      <c r="A835" s="1"/>
      <c r="B835" s="1"/>
      <c r="C835" s="157"/>
      <c r="D835" s="157"/>
      <c r="E835" s="157"/>
      <c r="F835" s="157"/>
      <c r="G835" s="157"/>
      <c r="H835" s="157"/>
      <c r="J835" t="str">
        <f t="shared" si="13"/>
        <v/>
      </c>
    </row>
    <row r="836" spans="1:10" x14ac:dyDescent="0.3">
      <c r="A836" s="1"/>
      <c r="B836" s="1"/>
      <c r="C836" s="157"/>
      <c r="D836" s="157"/>
      <c r="E836" s="157"/>
      <c r="F836" s="157"/>
      <c r="G836" s="157"/>
      <c r="H836" s="157"/>
      <c r="J836" t="str">
        <f t="shared" si="13"/>
        <v/>
      </c>
    </row>
    <row r="837" spans="1:10" x14ac:dyDescent="0.3">
      <c r="A837" s="1"/>
      <c r="B837" s="1"/>
      <c r="C837" s="157"/>
      <c r="D837" s="157"/>
      <c r="E837" s="157"/>
      <c r="F837" s="157"/>
      <c r="G837" s="157"/>
      <c r="H837" s="157"/>
      <c r="J837" t="str">
        <f t="shared" si="13"/>
        <v/>
      </c>
    </row>
    <row r="838" spans="1:10" x14ac:dyDescent="0.3">
      <c r="A838" s="1"/>
      <c r="B838" s="1"/>
      <c r="C838" s="157"/>
      <c r="D838" s="157"/>
      <c r="E838" s="157"/>
      <c r="F838" s="157"/>
      <c r="G838" s="157"/>
      <c r="H838" s="157"/>
      <c r="J838" t="str">
        <f t="shared" si="13"/>
        <v/>
      </c>
    </row>
    <row r="839" spans="1:10" x14ac:dyDescent="0.3">
      <c r="A839" s="1"/>
      <c r="B839" s="1"/>
      <c r="C839" s="157"/>
      <c r="D839" s="157"/>
      <c r="E839" s="157"/>
      <c r="F839" s="157"/>
      <c r="G839" s="157"/>
      <c r="H839" s="157"/>
      <c r="J839" t="str">
        <f t="shared" si="13"/>
        <v/>
      </c>
    </row>
    <row r="840" spans="1:10" x14ac:dyDescent="0.3">
      <c r="A840" s="1"/>
      <c r="B840" s="1"/>
      <c r="C840" s="157"/>
      <c r="D840" s="157"/>
      <c r="E840" s="157"/>
      <c r="F840" s="157"/>
      <c r="G840" s="157"/>
      <c r="H840" s="157"/>
      <c r="J840" t="str">
        <f t="shared" si="13"/>
        <v/>
      </c>
    </row>
    <row r="841" spans="1:10" x14ac:dyDescent="0.3">
      <c r="A841" s="1"/>
      <c r="B841" s="1"/>
      <c r="C841" s="157"/>
      <c r="D841" s="157"/>
      <c r="E841" s="157"/>
      <c r="F841" s="157"/>
      <c r="G841" s="157"/>
      <c r="H841" s="157"/>
      <c r="J841" t="str">
        <f t="shared" si="13"/>
        <v/>
      </c>
    </row>
    <row r="842" spans="1:10" x14ac:dyDescent="0.3">
      <c r="A842" s="1"/>
      <c r="B842" s="1"/>
      <c r="C842" s="157"/>
      <c r="D842" s="157"/>
      <c r="E842" s="157"/>
      <c r="F842" s="157"/>
      <c r="G842" s="157"/>
      <c r="H842" s="157"/>
      <c r="J842" t="str">
        <f t="shared" si="13"/>
        <v/>
      </c>
    </row>
    <row r="843" spans="1:10" x14ac:dyDescent="0.3">
      <c r="A843" s="1"/>
      <c r="B843" s="1"/>
      <c r="C843" s="157"/>
      <c r="D843" s="157"/>
      <c r="E843" s="157"/>
      <c r="F843" s="157"/>
      <c r="G843" s="157"/>
      <c r="H843" s="157"/>
      <c r="J843" t="str">
        <f t="shared" si="13"/>
        <v/>
      </c>
    </row>
    <row r="844" spans="1:10" x14ac:dyDescent="0.3">
      <c r="A844" s="1"/>
      <c r="B844" s="1"/>
      <c r="C844" s="157"/>
      <c r="D844" s="157"/>
      <c r="E844" s="157"/>
      <c r="F844" s="157"/>
      <c r="G844" s="157"/>
      <c r="H844" s="157"/>
      <c r="J844" t="str">
        <f t="shared" si="13"/>
        <v/>
      </c>
    </row>
    <row r="845" spans="1:10" x14ac:dyDescent="0.3">
      <c r="A845" s="1"/>
      <c r="B845" s="1"/>
      <c r="C845" s="157"/>
      <c r="D845" s="157"/>
      <c r="E845" s="157"/>
      <c r="F845" s="157"/>
      <c r="G845" s="157"/>
      <c r="H845" s="157"/>
      <c r="J845" t="str">
        <f t="shared" si="13"/>
        <v/>
      </c>
    </row>
    <row r="846" spans="1:10" x14ac:dyDescent="0.3">
      <c r="A846" s="1"/>
      <c r="B846" s="1"/>
      <c r="C846" s="157"/>
      <c r="D846" s="157"/>
      <c r="E846" s="157"/>
      <c r="F846" s="157"/>
      <c r="G846" s="157"/>
      <c r="H846" s="157"/>
      <c r="J846" t="str">
        <f t="shared" si="13"/>
        <v/>
      </c>
    </row>
    <row r="847" spans="1:10" x14ac:dyDescent="0.3">
      <c r="A847" s="1"/>
      <c r="B847" s="1"/>
      <c r="C847" s="157"/>
      <c r="D847" s="157"/>
      <c r="E847" s="157"/>
      <c r="F847" s="157"/>
      <c r="G847" s="157"/>
      <c r="H847" s="157"/>
      <c r="J847" t="str">
        <f t="shared" si="13"/>
        <v/>
      </c>
    </row>
    <row r="848" spans="1:10" x14ac:dyDescent="0.3">
      <c r="A848" s="1"/>
      <c r="B848" s="1"/>
      <c r="C848" s="157"/>
      <c r="D848" s="157"/>
      <c r="E848" s="157"/>
      <c r="F848" s="157"/>
      <c r="G848" s="157"/>
      <c r="H848" s="157"/>
      <c r="J848" t="str">
        <f t="shared" si="13"/>
        <v/>
      </c>
    </row>
    <row r="849" spans="1:10" x14ac:dyDescent="0.3">
      <c r="A849" s="1"/>
      <c r="B849" s="1"/>
      <c r="C849" s="157"/>
      <c r="D849" s="157"/>
      <c r="E849" s="157"/>
      <c r="F849" s="157"/>
      <c r="G849" s="157"/>
      <c r="H849" s="157"/>
      <c r="J849" t="str">
        <f t="shared" si="13"/>
        <v/>
      </c>
    </row>
    <row r="850" spans="1:10" x14ac:dyDescent="0.3">
      <c r="A850" s="1"/>
      <c r="B850" s="1"/>
      <c r="C850" s="157"/>
      <c r="D850" s="157"/>
      <c r="E850" s="157"/>
      <c r="F850" s="157"/>
      <c r="G850" s="157"/>
      <c r="H850" s="157"/>
      <c r="J850" t="str">
        <f t="shared" si="13"/>
        <v/>
      </c>
    </row>
    <row r="851" spans="1:10" x14ac:dyDescent="0.3">
      <c r="A851" s="1"/>
      <c r="B851" s="1"/>
      <c r="C851" s="157"/>
      <c r="D851" s="157"/>
      <c r="E851" s="157"/>
      <c r="F851" s="157"/>
      <c r="G851" s="157"/>
      <c r="H851" s="157"/>
      <c r="J851" t="str">
        <f t="shared" si="13"/>
        <v/>
      </c>
    </row>
    <row r="852" spans="1:10" x14ac:dyDescent="0.3">
      <c r="A852" s="1"/>
      <c r="B852" s="1"/>
      <c r="C852" s="157"/>
      <c r="D852" s="157"/>
      <c r="E852" s="157"/>
      <c r="F852" s="157"/>
      <c r="G852" s="157"/>
      <c r="H852" s="157"/>
      <c r="J852" t="str">
        <f t="shared" si="13"/>
        <v/>
      </c>
    </row>
    <row r="853" spans="1:10" x14ac:dyDescent="0.3">
      <c r="A853" s="1"/>
      <c r="B853" s="1"/>
      <c r="C853" s="157"/>
      <c r="D853" s="157"/>
      <c r="E853" s="157"/>
      <c r="F853" s="157"/>
      <c r="G853" s="157"/>
      <c r="H853" s="157"/>
      <c r="J853" t="str">
        <f t="shared" si="13"/>
        <v/>
      </c>
    </row>
    <row r="854" spans="1:10" x14ac:dyDescent="0.3">
      <c r="A854" s="1"/>
      <c r="B854" s="1"/>
      <c r="C854" s="157"/>
      <c r="D854" s="157"/>
      <c r="E854" s="157"/>
      <c r="F854" s="157"/>
      <c r="G854" s="157"/>
      <c r="H854" s="157"/>
      <c r="J854" t="str">
        <f t="shared" si="13"/>
        <v/>
      </c>
    </row>
    <row r="855" spans="1:10" x14ac:dyDescent="0.3">
      <c r="A855" s="1"/>
      <c r="B855" s="1"/>
      <c r="C855" s="157"/>
      <c r="D855" s="157"/>
      <c r="E855" s="157"/>
      <c r="F855" s="157"/>
      <c r="G855" s="157"/>
      <c r="H855" s="157"/>
      <c r="J855" t="str">
        <f t="shared" si="13"/>
        <v/>
      </c>
    </row>
    <row r="856" spans="1:10" x14ac:dyDescent="0.3">
      <c r="A856" s="1"/>
      <c r="B856" s="1"/>
      <c r="C856" s="157"/>
      <c r="D856" s="157"/>
      <c r="E856" s="157"/>
      <c r="F856" s="157"/>
      <c r="G856" s="157"/>
      <c r="H856" s="157"/>
      <c r="J856" t="str">
        <f t="shared" si="13"/>
        <v/>
      </c>
    </row>
    <row r="857" spans="1:10" x14ac:dyDescent="0.3">
      <c r="A857" s="1"/>
      <c r="B857" s="1"/>
      <c r="C857" s="157"/>
      <c r="D857" s="157"/>
      <c r="E857" s="157"/>
      <c r="F857" s="157"/>
      <c r="G857" s="157"/>
      <c r="H857" s="157"/>
      <c r="J857" t="str">
        <f t="shared" si="13"/>
        <v/>
      </c>
    </row>
    <row r="858" spans="1:10" x14ac:dyDescent="0.3">
      <c r="A858" s="1"/>
      <c r="B858" s="1"/>
      <c r="C858" s="157"/>
      <c r="D858" s="157"/>
      <c r="E858" s="157"/>
      <c r="F858" s="157"/>
      <c r="G858" s="157"/>
      <c r="H858" s="157"/>
      <c r="J858" t="str">
        <f t="shared" si="13"/>
        <v/>
      </c>
    </row>
    <row r="859" spans="1:10" x14ac:dyDescent="0.3">
      <c r="A859" s="1"/>
      <c r="B859" s="1"/>
      <c r="C859" s="157"/>
      <c r="D859" s="157"/>
      <c r="E859" s="157"/>
      <c r="F859" s="157"/>
      <c r="G859" s="157"/>
      <c r="H859" s="157"/>
      <c r="J859" t="str">
        <f t="shared" si="13"/>
        <v/>
      </c>
    </row>
    <row r="860" spans="1:10" x14ac:dyDescent="0.3">
      <c r="A860" s="1"/>
      <c r="B860" s="1"/>
      <c r="C860" s="157"/>
      <c r="D860" s="157"/>
      <c r="E860" s="157"/>
      <c r="F860" s="157"/>
      <c r="G860" s="157"/>
      <c r="H860" s="157"/>
      <c r="J860" t="str">
        <f t="shared" si="13"/>
        <v/>
      </c>
    </row>
    <row r="861" spans="1:10" x14ac:dyDescent="0.3">
      <c r="A861" s="1"/>
      <c r="B861" s="1"/>
      <c r="C861" s="157"/>
      <c r="D861" s="157"/>
      <c r="E861" s="157"/>
      <c r="F861" s="157"/>
      <c r="G861" s="157"/>
      <c r="H861" s="157"/>
      <c r="J861" t="str">
        <f t="shared" si="13"/>
        <v/>
      </c>
    </row>
    <row r="862" spans="1:10" x14ac:dyDescent="0.3">
      <c r="A862" s="1"/>
      <c r="B862" s="1"/>
      <c r="C862" s="157"/>
      <c r="D862" s="157"/>
      <c r="E862" s="157"/>
      <c r="F862" s="157"/>
      <c r="G862" s="157"/>
      <c r="H862" s="157"/>
      <c r="J862" t="str">
        <f t="shared" si="13"/>
        <v/>
      </c>
    </row>
    <row r="863" spans="1:10" x14ac:dyDescent="0.3">
      <c r="A863" s="1"/>
      <c r="B863" s="1"/>
      <c r="C863" s="157"/>
      <c r="D863" s="157"/>
      <c r="E863" s="157"/>
      <c r="F863" s="157"/>
      <c r="G863" s="157"/>
      <c r="H863" s="157"/>
      <c r="J863" t="str">
        <f t="shared" si="13"/>
        <v/>
      </c>
    </row>
    <row r="864" spans="1:10" x14ac:dyDescent="0.3">
      <c r="A864" s="1"/>
      <c r="B864" s="1"/>
      <c r="C864" s="157"/>
      <c r="D864" s="157"/>
      <c r="E864" s="157"/>
      <c r="F864" s="157"/>
      <c r="G864" s="157"/>
      <c r="H864" s="157"/>
      <c r="J864" t="str">
        <f t="shared" si="13"/>
        <v/>
      </c>
    </row>
    <row r="865" spans="1:10" x14ac:dyDescent="0.3">
      <c r="A865" s="1"/>
      <c r="B865" s="1"/>
      <c r="C865" s="157"/>
      <c r="D865" s="157"/>
      <c r="E865" s="157"/>
      <c r="F865" s="157"/>
      <c r="G865" s="157"/>
      <c r="H865" s="157"/>
      <c r="J865" t="str">
        <f t="shared" si="13"/>
        <v/>
      </c>
    </row>
    <row r="866" spans="1:10" x14ac:dyDescent="0.3">
      <c r="A866" s="1"/>
      <c r="B866" s="1"/>
      <c r="C866" s="157"/>
      <c r="D866" s="157"/>
      <c r="E866" s="157"/>
      <c r="F866" s="157"/>
      <c r="G866" s="157"/>
      <c r="H866" s="157"/>
      <c r="J866" t="str">
        <f t="shared" si="13"/>
        <v/>
      </c>
    </row>
    <row r="867" spans="1:10" x14ac:dyDescent="0.3">
      <c r="A867" s="1"/>
      <c r="B867" s="1"/>
      <c r="C867" s="157"/>
      <c r="D867" s="157"/>
      <c r="E867" s="157"/>
      <c r="F867" s="157"/>
      <c r="G867" s="157"/>
      <c r="H867" s="157"/>
      <c r="J867" t="str">
        <f t="shared" si="13"/>
        <v/>
      </c>
    </row>
    <row r="868" spans="1:10" x14ac:dyDescent="0.3">
      <c r="A868" s="1"/>
      <c r="B868" s="1"/>
      <c r="C868" s="157"/>
      <c r="D868" s="157"/>
      <c r="E868" s="157"/>
      <c r="F868" s="157"/>
      <c r="G868" s="157"/>
      <c r="H868" s="157"/>
      <c r="J868" t="str">
        <f t="shared" si="13"/>
        <v/>
      </c>
    </row>
    <row r="869" spans="1:10" x14ac:dyDescent="0.3">
      <c r="A869" s="1"/>
      <c r="B869" s="1"/>
      <c r="C869" s="157"/>
      <c r="D869" s="157"/>
      <c r="E869" s="157"/>
      <c r="F869" s="157"/>
      <c r="G869" s="157"/>
      <c r="H869" s="157"/>
      <c r="J869" t="str">
        <f t="shared" si="13"/>
        <v/>
      </c>
    </row>
    <row r="870" spans="1:10" x14ac:dyDescent="0.3">
      <c r="A870" s="1"/>
      <c r="B870" s="1"/>
      <c r="C870" s="157"/>
      <c r="D870" s="157"/>
      <c r="E870" s="157"/>
      <c r="F870" s="157"/>
      <c r="G870" s="157"/>
      <c r="H870" s="157"/>
      <c r="J870" t="str">
        <f t="shared" si="13"/>
        <v/>
      </c>
    </row>
    <row r="871" spans="1:10" x14ac:dyDescent="0.3">
      <c r="A871" s="1"/>
      <c r="B871" s="1"/>
      <c r="C871" s="157"/>
      <c r="D871" s="157"/>
      <c r="E871" s="157"/>
      <c r="F871" s="157"/>
      <c r="G871" s="157"/>
      <c r="H871" s="157"/>
      <c r="J871" t="str">
        <f t="shared" si="13"/>
        <v/>
      </c>
    </row>
    <row r="872" spans="1:10" x14ac:dyDescent="0.3">
      <c r="A872" s="1"/>
      <c r="B872" s="1"/>
      <c r="C872" s="157"/>
      <c r="D872" s="157"/>
      <c r="E872" s="157"/>
      <c r="F872" s="157"/>
      <c r="G872" s="157"/>
      <c r="H872" s="157"/>
      <c r="J872" t="str">
        <f t="shared" si="13"/>
        <v/>
      </c>
    </row>
    <row r="873" spans="1:10" x14ac:dyDescent="0.3">
      <c r="A873" s="1"/>
      <c r="B873" s="1"/>
      <c r="C873" s="157"/>
      <c r="D873" s="157"/>
      <c r="E873" s="157"/>
      <c r="F873" s="157"/>
      <c r="G873" s="157"/>
      <c r="H873" s="157"/>
      <c r="J873" t="str">
        <f t="shared" si="13"/>
        <v/>
      </c>
    </row>
    <row r="874" spans="1:10" x14ac:dyDescent="0.3">
      <c r="A874" s="1"/>
      <c r="B874" s="1"/>
      <c r="C874" s="157"/>
      <c r="D874" s="157"/>
      <c r="E874" s="157"/>
      <c r="F874" s="157"/>
      <c r="G874" s="157"/>
      <c r="H874" s="157"/>
      <c r="J874" t="str">
        <f t="shared" si="13"/>
        <v/>
      </c>
    </row>
    <row r="875" spans="1:10" x14ac:dyDescent="0.3">
      <c r="A875" s="1"/>
      <c r="B875" s="1"/>
      <c r="C875" s="157"/>
      <c r="D875" s="157"/>
      <c r="E875" s="157"/>
      <c r="F875" s="157"/>
      <c r="G875" s="157"/>
      <c r="H875" s="157"/>
      <c r="J875" t="str">
        <f t="shared" si="13"/>
        <v/>
      </c>
    </row>
    <row r="876" spans="1:10" x14ac:dyDescent="0.3">
      <c r="A876" s="1"/>
      <c r="B876" s="1"/>
      <c r="C876" s="157"/>
      <c r="D876" s="157"/>
      <c r="E876" s="157"/>
      <c r="F876" s="157"/>
      <c r="G876" s="157"/>
      <c r="H876" s="157"/>
      <c r="J876" t="str">
        <f t="shared" si="13"/>
        <v/>
      </c>
    </row>
    <row r="877" spans="1:10" x14ac:dyDescent="0.3">
      <c r="A877" s="1"/>
      <c r="B877" s="1"/>
      <c r="C877" s="157"/>
      <c r="D877" s="157"/>
      <c r="E877" s="157"/>
      <c r="F877" s="157"/>
      <c r="G877" s="157"/>
      <c r="H877" s="157"/>
      <c r="J877" t="str">
        <f t="shared" si="13"/>
        <v/>
      </c>
    </row>
    <row r="878" spans="1:10" x14ac:dyDescent="0.3">
      <c r="A878" s="1"/>
      <c r="B878" s="1"/>
      <c r="C878" s="157"/>
      <c r="D878" s="157"/>
      <c r="E878" s="157"/>
      <c r="F878" s="157"/>
      <c r="G878" s="157"/>
      <c r="H878" s="157"/>
      <c r="J878" t="str">
        <f t="shared" si="13"/>
        <v/>
      </c>
    </row>
    <row r="879" spans="1:10" x14ac:dyDescent="0.3">
      <c r="A879" s="1"/>
      <c r="B879" s="1"/>
      <c r="C879" s="157"/>
      <c r="D879" s="157"/>
      <c r="E879" s="157"/>
      <c r="F879" s="157"/>
      <c r="G879" s="157"/>
      <c r="H879" s="157"/>
      <c r="J879" t="str">
        <f t="shared" si="13"/>
        <v/>
      </c>
    </row>
    <row r="880" spans="1:10" x14ac:dyDescent="0.3">
      <c r="A880" s="1"/>
      <c r="B880" s="1"/>
      <c r="C880" s="157"/>
      <c r="D880" s="157"/>
      <c r="E880" s="157"/>
      <c r="F880" s="157"/>
      <c r="G880" s="157"/>
      <c r="H880" s="157"/>
      <c r="J880" t="str">
        <f t="shared" si="13"/>
        <v/>
      </c>
    </row>
    <row r="881" spans="1:10" x14ac:dyDescent="0.3">
      <c r="A881" s="1"/>
      <c r="B881" s="1"/>
      <c r="C881" s="157"/>
      <c r="D881" s="157"/>
      <c r="E881" s="157"/>
      <c r="F881" s="157"/>
      <c r="G881" s="157"/>
      <c r="H881" s="157"/>
      <c r="J881" t="str">
        <f t="shared" si="13"/>
        <v/>
      </c>
    </row>
    <row r="882" spans="1:10" x14ac:dyDescent="0.3">
      <c r="A882" s="1"/>
      <c r="B882" s="1"/>
      <c r="C882" s="157"/>
      <c r="D882" s="157"/>
      <c r="E882" s="157"/>
      <c r="F882" s="157"/>
      <c r="G882" s="157"/>
      <c r="H882" s="157"/>
      <c r="J882" t="str">
        <f t="shared" si="13"/>
        <v/>
      </c>
    </row>
    <row r="883" spans="1:10" x14ac:dyDescent="0.3">
      <c r="A883" s="1"/>
      <c r="B883" s="1"/>
      <c r="C883" s="157"/>
      <c r="D883" s="157"/>
      <c r="E883" s="157"/>
      <c r="F883" s="157"/>
      <c r="G883" s="157"/>
      <c r="H883" s="157"/>
      <c r="J883" t="str">
        <f t="shared" si="13"/>
        <v/>
      </c>
    </row>
    <row r="884" spans="1:10" x14ac:dyDescent="0.3">
      <c r="A884" s="1"/>
      <c r="B884" s="1"/>
      <c r="C884" s="157"/>
      <c r="D884" s="157"/>
      <c r="E884" s="157"/>
      <c r="F884" s="157"/>
      <c r="G884" s="157"/>
      <c r="H884" s="157"/>
      <c r="J884" t="str">
        <f t="shared" si="13"/>
        <v/>
      </c>
    </row>
    <row r="885" spans="1:10" x14ac:dyDescent="0.3">
      <c r="A885" s="1"/>
      <c r="B885" s="1"/>
      <c r="C885" s="157"/>
      <c r="D885" s="157"/>
      <c r="E885" s="157"/>
      <c r="F885" s="157"/>
      <c r="G885" s="157"/>
      <c r="H885" s="157"/>
      <c r="J885" t="str">
        <f t="shared" si="13"/>
        <v/>
      </c>
    </row>
    <row r="886" spans="1:10" x14ac:dyDescent="0.3">
      <c r="A886" s="1"/>
      <c r="B886" s="1"/>
      <c r="C886" s="157"/>
      <c r="D886" s="157"/>
      <c r="E886" s="157"/>
      <c r="F886" s="157"/>
      <c r="G886" s="157"/>
      <c r="H886" s="157"/>
      <c r="J886" t="str">
        <f t="shared" si="13"/>
        <v/>
      </c>
    </row>
    <row r="887" spans="1:10" x14ac:dyDescent="0.3">
      <c r="A887" s="1"/>
      <c r="B887" s="1"/>
      <c r="C887" s="157"/>
      <c r="D887" s="157"/>
      <c r="E887" s="157"/>
      <c r="F887" s="157"/>
      <c r="G887" s="157"/>
      <c r="H887" s="157"/>
      <c r="J887" t="str">
        <f t="shared" si="13"/>
        <v/>
      </c>
    </row>
    <row r="888" spans="1:10" x14ac:dyDescent="0.3">
      <c r="A888" s="1"/>
      <c r="B888" s="1"/>
      <c r="C888" s="157"/>
      <c r="D888" s="157"/>
      <c r="E888" s="157"/>
      <c r="F888" s="157"/>
      <c r="G888" s="157"/>
      <c r="H888" s="157"/>
      <c r="J888" t="str">
        <f t="shared" si="13"/>
        <v/>
      </c>
    </row>
    <row r="889" spans="1:10" x14ac:dyDescent="0.3">
      <c r="A889" s="1"/>
      <c r="B889" s="1"/>
      <c r="C889" s="157"/>
      <c r="D889" s="157"/>
      <c r="E889" s="157"/>
      <c r="F889" s="157"/>
      <c r="G889" s="157"/>
      <c r="H889" s="157"/>
      <c r="J889" t="str">
        <f t="shared" si="13"/>
        <v/>
      </c>
    </row>
    <row r="890" spans="1:10" x14ac:dyDescent="0.3">
      <c r="A890" s="1"/>
      <c r="B890" s="1"/>
      <c r="C890" s="157"/>
      <c r="D890" s="157"/>
      <c r="E890" s="157"/>
      <c r="F890" s="157"/>
      <c r="G890" s="157"/>
      <c r="H890" s="157"/>
      <c r="J890" t="str">
        <f t="shared" si="13"/>
        <v/>
      </c>
    </row>
    <row r="891" spans="1:10" x14ac:dyDescent="0.3">
      <c r="A891" s="1"/>
      <c r="B891" s="1"/>
      <c r="C891" s="157"/>
      <c r="D891" s="157"/>
      <c r="E891" s="157"/>
      <c r="F891" s="157"/>
      <c r="G891" s="157"/>
      <c r="H891" s="157"/>
      <c r="J891" t="str">
        <f t="shared" si="13"/>
        <v/>
      </c>
    </row>
    <row r="892" spans="1:10" x14ac:dyDescent="0.3">
      <c r="A892" s="1"/>
      <c r="B892" s="1"/>
      <c r="C892" s="157"/>
      <c r="D892" s="157"/>
      <c r="E892" s="157"/>
      <c r="F892" s="157"/>
      <c r="G892" s="157"/>
      <c r="H892" s="157"/>
      <c r="J892" t="str">
        <f t="shared" si="13"/>
        <v/>
      </c>
    </row>
    <row r="893" spans="1:10" x14ac:dyDescent="0.3">
      <c r="A893" s="1"/>
      <c r="B893" s="1"/>
      <c r="C893" s="157"/>
      <c r="D893" s="157"/>
      <c r="E893" s="157"/>
      <c r="F893" s="157"/>
      <c r="G893" s="157"/>
      <c r="H893" s="157"/>
      <c r="J893" t="str">
        <f t="shared" si="13"/>
        <v/>
      </c>
    </row>
    <row r="894" spans="1:10" x14ac:dyDescent="0.3">
      <c r="A894" s="1"/>
      <c r="B894" s="1"/>
      <c r="C894" s="157"/>
      <c r="D894" s="157"/>
      <c r="E894" s="157"/>
      <c r="F894" s="157"/>
      <c r="G894" s="157"/>
      <c r="H894" s="157"/>
      <c r="J894" t="str">
        <f t="shared" si="13"/>
        <v/>
      </c>
    </row>
    <row r="895" spans="1:10" x14ac:dyDescent="0.3">
      <c r="A895" s="1"/>
      <c r="B895" s="1"/>
      <c r="C895" s="157"/>
      <c r="D895" s="157"/>
      <c r="E895" s="157"/>
      <c r="F895" s="157"/>
      <c r="G895" s="157"/>
      <c r="H895" s="157"/>
      <c r="J895" t="str">
        <f t="shared" si="13"/>
        <v/>
      </c>
    </row>
    <row r="896" spans="1:10" x14ac:dyDescent="0.3">
      <c r="A896" s="1"/>
      <c r="B896" s="1"/>
      <c r="C896" s="157"/>
      <c r="D896" s="157"/>
      <c r="E896" s="157"/>
      <c r="F896" s="157"/>
      <c r="G896" s="157"/>
      <c r="H896" s="157"/>
      <c r="J896" t="str">
        <f t="shared" si="13"/>
        <v/>
      </c>
    </row>
    <row r="897" spans="1:10" x14ac:dyDescent="0.3">
      <c r="A897" s="1"/>
      <c r="B897" s="1"/>
      <c r="C897" s="157"/>
      <c r="D897" s="157"/>
      <c r="E897" s="157"/>
      <c r="F897" s="157"/>
      <c r="G897" s="157"/>
      <c r="H897" s="157"/>
      <c r="J897" t="str">
        <f t="shared" si="13"/>
        <v/>
      </c>
    </row>
    <row r="898" spans="1:10" x14ac:dyDescent="0.3">
      <c r="A898" s="1"/>
      <c r="B898" s="1"/>
      <c r="C898" s="157"/>
      <c r="D898" s="157"/>
      <c r="E898" s="157"/>
      <c r="F898" s="157"/>
      <c r="G898" s="157"/>
      <c r="H898" s="157"/>
      <c r="J898" t="str">
        <f t="shared" ref="J898:J961" si="14">IF(B898 &lt;&gt; "",(IF(C898&lt;&gt;"",CONCATENATE(A898, " ", B898,"  - ",C898,IF(D898&lt;&gt;"","/",""),D898),CONCATENATE(A898, " ",B898,IF(D898&lt;&gt;"","  - ",""),D898))),"")</f>
        <v/>
      </c>
    </row>
    <row r="899" spans="1:10" x14ac:dyDescent="0.3">
      <c r="A899" s="1"/>
      <c r="B899" s="1"/>
      <c r="C899" s="157"/>
      <c r="D899" s="157"/>
      <c r="E899" s="157"/>
      <c r="F899" s="157"/>
      <c r="G899" s="157"/>
      <c r="H899" s="157"/>
      <c r="J899" t="str">
        <f t="shared" si="14"/>
        <v/>
      </c>
    </row>
    <row r="900" spans="1:10" x14ac:dyDescent="0.3">
      <c r="A900" s="1"/>
      <c r="B900" s="1"/>
      <c r="C900" s="157"/>
      <c r="D900" s="157"/>
      <c r="E900" s="157"/>
      <c r="F900" s="157"/>
      <c r="G900" s="157"/>
      <c r="H900" s="157"/>
      <c r="J900" t="str">
        <f t="shared" si="14"/>
        <v/>
      </c>
    </row>
    <row r="901" spans="1:10" x14ac:dyDescent="0.3">
      <c r="A901" s="1"/>
      <c r="B901" s="1"/>
      <c r="C901" s="157"/>
      <c r="D901" s="157"/>
      <c r="E901" s="157"/>
      <c r="F901" s="157"/>
      <c r="G901" s="157"/>
      <c r="H901" s="157"/>
      <c r="J901" t="str">
        <f t="shared" si="14"/>
        <v/>
      </c>
    </row>
    <row r="902" spans="1:10" x14ac:dyDescent="0.3">
      <c r="A902" s="1"/>
      <c r="B902" s="1"/>
      <c r="C902" s="157"/>
      <c r="D902" s="157"/>
      <c r="E902" s="157"/>
      <c r="F902" s="157"/>
      <c r="G902" s="157"/>
      <c r="H902" s="157"/>
      <c r="J902" t="str">
        <f t="shared" si="14"/>
        <v/>
      </c>
    </row>
    <row r="903" spans="1:10" x14ac:dyDescent="0.3">
      <c r="A903" s="1"/>
      <c r="B903" s="1"/>
      <c r="C903" s="157"/>
      <c r="D903" s="157"/>
      <c r="E903" s="157"/>
      <c r="F903" s="157"/>
      <c r="G903" s="157"/>
      <c r="H903" s="157"/>
      <c r="J903" t="str">
        <f t="shared" si="14"/>
        <v/>
      </c>
    </row>
    <row r="904" spans="1:10" x14ac:dyDescent="0.3">
      <c r="A904" s="1"/>
      <c r="B904" s="1"/>
      <c r="C904" s="157"/>
      <c r="D904" s="157"/>
      <c r="E904" s="157"/>
      <c r="F904" s="157"/>
      <c r="G904" s="157"/>
      <c r="H904" s="157"/>
      <c r="J904" t="str">
        <f t="shared" si="14"/>
        <v/>
      </c>
    </row>
    <row r="905" spans="1:10" x14ac:dyDescent="0.3">
      <c r="A905" s="1"/>
      <c r="B905" s="1"/>
      <c r="C905" s="157"/>
      <c r="D905" s="157"/>
      <c r="E905" s="157"/>
      <c r="F905" s="157"/>
      <c r="G905" s="157"/>
      <c r="H905" s="157"/>
      <c r="J905" t="str">
        <f t="shared" si="14"/>
        <v/>
      </c>
    </row>
    <row r="906" spans="1:10" x14ac:dyDescent="0.3">
      <c r="A906" s="1"/>
      <c r="B906" s="1"/>
      <c r="C906" s="157"/>
      <c r="D906" s="157"/>
      <c r="E906" s="157"/>
      <c r="F906" s="157"/>
      <c r="G906" s="157"/>
      <c r="H906" s="157"/>
      <c r="J906" t="str">
        <f t="shared" si="14"/>
        <v/>
      </c>
    </row>
    <row r="907" spans="1:10" x14ac:dyDescent="0.3">
      <c r="A907" s="1"/>
      <c r="B907" s="1"/>
      <c r="C907" s="157"/>
      <c r="D907" s="157"/>
      <c r="E907" s="157"/>
      <c r="F907" s="157"/>
      <c r="G907" s="157"/>
      <c r="H907" s="157"/>
      <c r="J907" t="str">
        <f t="shared" si="14"/>
        <v/>
      </c>
    </row>
    <row r="908" spans="1:10" x14ac:dyDescent="0.3">
      <c r="A908" s="1"/>
      <c r="B908" s="1"/>
      <c r="C908" s="157"/>
      <c r="D908" s="157"/>
      <c r="E908" s="157"/>
      <c r="F908" s="157"/>
      <c r="G908" s="157"/>
      <c r="H908" s="157"/>
      <c r="J908" t="str">
        <f t="shared" si="14"/>
        <v/>
      </c>
    </row>
    <row r="909" spans="1:10" x14ac:dyDescent="0.3">
      <c r="A909" s="1"/>
      <c r="B909" s="1"/>
      <c r="C909" s="157"/>
      <c r="D909" s="157"/>
      <c r="E909" s="157"/>
      <c r="F909" s="157"/>
      <c r="G909" s="157"/>
      <c r="H909" s="157"/>
      <c r="J909" t="str">
        <f t="shared" si="14"/>
        <v/>
      </c>
    </row>
    <row r="910" spans="1:10" x14ac:dyDescent="0.3">
      <c r="A910" s="1"/>
      <c r="B910" s="1"/>
      <c r="C910" s="157"/>
      <c r="D910" s="157"/>
      <c r="E910" s="157"/>
      <c r="F910" s="157"/>
      <c r="G910" s="157"/>
      <c r="H910" s="157"/>
      <c r="J910" t="str">
        <f t="shared" si="14"/>
        <v/>
      </c>
    </row>
    <row r="911" spans="1:10" x14ac:dyDescent="0.3">
      <c r="A911" s="1"/>
      <c r="B911" s="1"/>
      <c r="C911" s="157"/>
      <c r="D911" s="157"/>
      <c r="E911" s="157"/>
      <c r="F911" s="157"/>
      <c r="G911" s="157"/>
      <c r="H911" s="157"/>
      <c r="J911" t="str">
        <f t="shared" si="14"/>
        <v/>
      </c>
    </row>
    <row r="912" spans="1:10" x14ac:dyDescent="0.3">
      <c r="A912" s="1"/>
      <c r="B912" s="1"/>
      <c r="C912" s="157"/>
      <c r="D912" s="157"/>
      <c r="E912" s="157"/>
      <c r="F912" s="157"/>
      <c r="G912" s="157"/>
      <c r="H912" s="157"/>
      <c r="J912" t="str">
        <f t="shared" si="14"/>
        <v/>
      </c>
    </row>
    <row r="913" spans="1:10" x14ac:dyDescent="0.3">
      <c r="A913" s="1"/>
      <c r="B913" s="1"/>
      <c r="C913" s="157"/>
      <c r="D913" s="157"/>
      <c r="E913" s="157"/>
      <c r="F913" s="157"/>
      <c r="G913" s="157"/>
      <c r="H913" s="157"/>
      <c r="J913" t="str">
        <f t="shared" si="14"/>
        <v/>
      </c>
    </row>
    <row r="914" spans="1:10" x14ac:dyDescent="0.3">
      <c r="A914" s="1"/>
      <c r="B914" s="1"/>
      <c r="C914" s="157"/>
      <c r="D914" s="157"/>
      <c r="E914" s="157"/>
      <c r="F914" s="157"/>
      <c r="G914" s="157"/>
      <c r="H914" s="157"/>
      <c r="J914" t="str">
        <f t="shared" si="14"/>
        <v/>
      </c>
    </row>
    <row r="915" spans="1:10" x14ac:dyDescent="0.3">
      <c r="A915" s="1"/>
      <c r="B915" s="1"/>
      <c r="C915" s="157"/>
      <c r="D915" s="157"/>
      <c r="E915" s="157"/>
      <c r="F915" s="157"/>
      <c r="G915" s="157"/>
      <c r="H915" s="157"/>
      <c r="J915" t="str">
        <f t="shared" si="14"/>
        <v/>
      </c>
    </row>
    <row r="916" spans="1:10" x14ac:dyDescent="0.3">
      <c r="A916" s="1"/>
      <c r="B916" s="1"/>
      <c r="C916" s="157"/>
      <c r="D916" s="157"/>
      <c r="E916" s="157"/>
      <c r="F916" s="157"/>
      <c r="G916" s="157"/>
      <c r="H916" s="157"/>
      <c r="J916" t="str">
        <f t="shared" si="14"/>
        <v/>
      </c>
    </row>
    <row r="917" spans="1:10" x14ac:dyDescent="0.3">
      <c r="A917" s="1"/>
      <c r="B917" s="1"/>
      <c r="C917" s="157"/>
      <c r="D917" s="157"/>
      <c r="E917" s="157"/>
      <c r="F917" s="157"/>
      <c r="G917" s="157"/>
      <c r="H917" s="157"/>
      <c r="J917" t="str">
        <f t="shared" si="14"/>
        <v/>
      </c>
    </row>
    <row r="918" spans="1:10" x14ac:dyDescent="0.3">
      <c r="A918" s="1"/>
      <c r="B918" s="1"/>
      <c r="C918" s="157"/>
      <c r="D918" s="157"/>
      <c r="E918" s="157"/>
      <c r="F918" s="157"/>
      <c r="G918" s="157"/>
      <c r="H918" s="157"/>
      <c r="J918" t="str">
        <f t="shared" si="14"/>
        <v/>
      </c>
    </row>
    <row r="919" spans="1:10" x14ac:dyDescent="0.3">
      <c r="A919" s="1"/>
      <c r="B919" s="1"/>
      <c r="C919" s="157"/>
      <c r="D919" s="157"/>
      <c r="E919" s="157"/>
      <c r="F919" s="157"/>
      <c r="G919" s="157"/>
      <c r="H919" s="157"/>
      <c r="J919" t="str">
        <f t="shared" si="14"/>
        <v/>
      </c>
    </row>
    <row r="920" spans="1:10" x14ac:dyDescent="0.3">
      <c r="A920" s="1"/>
      <c r="B920" s="1"/>
      <c r="C920" s="157"/>
      <c r="D920" s="157"/>
      <c r="E920" s="157"/>
      <c r="F920" s="157"/>
      <c r="G920" s="157"/>
      <c r="H920" s="157"/>
      <c r="J920" t="str">
        <f t="shared" si="14"/>
        <v/>
      </c>
    </row>
    <row r="921" spans="1:10" x14ac:dyDescent="0.3">
      <c r="A921" s="1"/>
      <c r="B921" s="1"/>
      <c r="C921" s="157"/>
      <c r="D921" s="157"/>
      <c r="E921" s="157"/>
      <c r="F921" s="157"/>
      <c r="G921" s="157"/>
      <c r="H921" s="157"/>
      <c r="J921" t="str">
        <f t="shared" si="14"/>
        <v/>
      </c>
    </row>
    <row r="922" spans="1:10" x14ac:dyDescent="0.3">
      <c r="A922" s="1"/>
      <c r="B922" s="1"/>
      <c r="C922" s="157"/>
      <c r="D922" s="157"/>
      <c r="E922" s="157"/>
      <c r="F922" s="157"/>
      <c r="G922" s="157"/>
      <c r="H922" s="157"/>
      <c r="J922" t="str">
        <f t="shared" si="14"/>
        <v/>
      </c>
    </row>
    <row r="923" spans="1:10" x14ac:dyDescent="0.3">
      <c r="A923" s="1"/>
      <c r="B923" s="1"/>
      <c r="C923" s="157"/>
      <c r="D923" s="157"/>
      <c r="E923" s="157"/>
      <c r="F923" s="157"/>
      <c r="G923" s="157"/>
      <c r="H923" s="157"/>
      <c r="J923" t="str">
        <f t="shared" si="14"/>
        <v/>
      </c>
    </row>
    <row r="924" spans="1:10" x14ac:dyDescent="0.3">
      <c r="A924" s="1"/>
      <c r="B924" s="1"/>
      <c r="C924" s="157"/>
      <c r="D924" s="157"/>
      <c r="E924" s="157"/>
      <c r="F924" s="157"/>
      <c r="G924" s="157"/>
      <c r="H924" s="157"/>
      <c r="J924" t="str">
        <f t="shared" si="14"/>
        <v/>
      </c>
    </row>
    <row r="925" spans="1:10" x14ac:dyDescent="0.3">
      <c r="A925" s="1"/>
      <c r="B925" s="1"/>
      <c r="C925" s="157"/>
      <c r="D925" s="157"/>
      <c r="E925" s="157"/>
      <c r="F925" s="157"/>
      <c r="G925" s="157"/>
      <c r="H925" s="157"/>
      <c r="J925" t="str">
        <f t="shared" si="14"/>
        <v/>
      </c>
    </row>
    <row r="926" spans="1:10" x14ac:dyDescent="0.3">
      <c r="A926" s="1"/>
      <c r="B926" s="1"/>
      <c r="C926" s="157"/>
      <c r="D926" s="157"/>
      <c r="E926" s="157"/>
      <c r="F926" s="157"/>
      <c r="G926" s="157"/>
      <c r="H926" s="157"/>
      <c r="J926" t="str">
        <f t="shared" si="14"/>
        <v/>
      </c>
    </row>
    <row r="927" spans="1:10" x14ac:dyDescent="0.3">
      <c r="A927" s="1"/>
      <c r="B927" s="1"/>
      <c r="C927" s="157"/>
      <c r="D927" s="157"/>
      <c r="E927" s="157"/>
      <c r="F927" s="157"/>
      <c r="G927" s="157"/>
      <c r="H927" s="157"/>
      <c r="J927" t="str">
        <f t="shared" si="14"/>
        <v/>
      </c>
    </row>
    <row r="928" spans="1:10" x14ac:dyDescent="0.3">
      <c r="A928" s="1"/>
      <c r="B928" s="1"/>
      <c r="C928" s="157"/>
      <c r="D928" s="157"/>
      <c r="E928" s="157"/>
      <c r="F928" s="157"/>
      <c r="G928" s="157"/>
      <c r="H928" s="157"/>
      <c r="J928" t="str">
        <f t="shared" si="14"/>
        <v/>
      </c>
    </row>
    <row r="929" spans="1:10" x14ac:dyDescent="0.3">
      <c r="A929" s="1"/>
      <c r="B929" s="1"/>
      <c r="C929" s="157"/>
      <c r="D929" s="157"/>
      <c r="E929" s="157"/>
      <c r="F929" s="157"/>
      <c r="G929" s="157"/>
      <c r="H929" s="157"/>
      <c r="J929" t="str">
        <f t="shared" si="14"/>
        <v/>
      </c>
    </row>
    <row r="930" spans="1:10" x14ac:dyDescent="0.3">
      <c r="A930" s="1"/>
      <c r="B930" s="1"/>
      <c r="C930" s="157"/>
      <c r="D930" s="157"/>
      <c r="E930" s="157"/>
      <c r="F930" s="157"/>
      <c r="G930" s="157"/>
      <c r="H930" s="157"/>
      <c r="J930" t="str">
        <f t="shared" si="14"/>
        <v/>
      </c>
    </row>
    <row r="931" spans="1:10" x14ac:dyDescent="0.3">
      <c r="A931" s="1"/>
      <c r="B931" s="1"/>
      <c r="C931" s="157"/>
      <c r="D931" s="157"/>
      <c r="E931" s="157"/>
      <c r="F931" s="157"/>
      <c r="G931" s="157"/>
      <c r="H931" s="157"/>
      <c r="J931" t="str">
        <f t="shared" si="14"/>
        <v/>
      </c>
    </row>
    <row r="932" spans="1:10" x14ac:dyDescent="0.3">
      <c r="A932" s="1"/>
      <c r="B932" s="1"/>
      <c r="C932" s="157"/>
      <c r="D932" s="157"/>
      <c r="E932" s="157"/>
      <c r="F932" s="157"/>
      <c r="G932" s="157"/>
      <c r="H932" s="157"/>
      <c r="J932" t="str">
        <f t="shared" si="14"/>
        <v/>
      </c>
    </row>
    <row r="933" spans="1:10" x14ac:dyDescent="0.3">
      <c r="A933" s="1"/>
      <c r="B933" s="1"/>
      <c r="C933" s="157"/>
      <c r="D933" s="157"/>
      <c r="E933" s="157"/>
      <c r="F933" s="157"/>
      <c r="G933" s="157"/>
      <c r="H933" s="157"/>
      <c r="J933" t="str">
        <f t="shared" si="14"/>
        <v/>
      </c>
    </row>
    <row r="934" spans="1:10" x14ac:dyDescent="0.3">
      <c r="A934" s="1"/>
      <c r="B934" s="1"/>
      <c r="C934" s="157"/>
      <c r="D934" s="157"/>
      <c r="E934" s="157"/>
      <c r="F934" s="157"/>
      <c r="G934" s="157"/>
      <c r="H934" s="157"/>
      <c r="J934" t="str">
        <f t="shared" si="14"/>
        <v/>
      </c>
    </row>
    <row r="935" spans="1:10" x14ac:dyDescent="0.3">
      <c r="A935" s="1"/>
      <c r="B935" s="1"/>
      <c r="C935" s="157"/>
      <c r="D935" s="157"/>
      <c r="E935" s="157"/>
      <c r="F935" s="157"/>
      <c r="G935" s="157"/>
      <c r="H935" s="157"/>
      <c r="J935" t="str">
        <f t="shared" si="14"/>
        <v/>
      </c>
    </row>
    <row r="936" spans="1:10" x14ac:dyDescent="0.3">
      <c r="A936" s="1"/>
      <c r="B936" s="1"/>
      <c r="C936" s="157"/>
      <c r="D936" s="157"/>
      <c r="E936" s="157"/>
      <c r="F936" s="157"/>
      <c r="G936" s="157"/>
      <c r="H936" s="157"/>
      <c r="J936" t="str">
        <f t="shared" si="14"/>
        <v/>
      </c>
    </row>
    <row r="937" spans="1:10" x14ac:dyDescent="0.3">
      <c r="A937" s="1"/>
      <c r="B937" s="1"/>
      <c r="C937" s="157"/>
      <c r="D937" s="157"/>
      <c r="E937" s="157"/>
      <c r="F937" s="157"/>
      <c r="G937" s="157"/>
      <c r="H937" s="157"/>
      <c r="J937" t="str">
        <f t="shared" si="14"/>
        <v/>
      </c>
    </row>
    <row r="938" spans="1:10" x14ac:dyDescent="0.3">
      <c r="A938" s="1"/>
      <c r="B938" s="1"/>
      <c r="C938" s="157"/>
      <c r="D938" s="157"/>
      <c r="E938" s="157"/>
      <c r="F938" s="157"/>
      <c r="G938" s="157"/>
      <c r="H938" s="157"/>
      <c r="J938" t="str">
        <f t="shared" si="14"/>
        <v/>
      </c>
    </row>
    <row r="939" spans="1:10" x14ac:dyDescent="0.3">
      <c r="A939" s="1"/>
      <c r="B939" s="1"/>
      <c r="C939" s="157"/>
      <c r="D939" s="157"/>
      <c r="E939" s="157"/>
      <c r="F939" s="157"/>
      <c r="G939" s="157"/>
      <c r="H939" s="157"/>
      <c r="J939" t="str">
        <f t="shared" si="14"/>
        <v/>
      </c>
    </row>
    <row r="940" spans="1:10" x14ac:dyDescent="0.3">
      <c r="A940" s="1"/>
      <c r="B940" s="1"/>
      <c r="C940" s="157"/>
      <c r="D940" s="157"/>
      <c r="E940" s="157"/>
      <c r="F940" s="157"/>
      <c r="G940" s="157"/>
      <c r="H940" s="157"/>
      <c r="J940" t="str">
        <f t="shared" si="14"/>
        <v/>
      </c>
    </row>
    <row r="941" spans="1:10" x14ac:dyDescent="0.3">
      <c r="A941" s="1"/>
      <c r="B941" s="1"/>
      <c r="C941" s="157"/>
      <c r="D941" s="157"/>
      <c r="E941" s="157"/>
      <c r="F941" s="157"/>
      <c r="G941" s="157"/>
      <c r="H941" s="157"/>
      <c r="J941" t="str">
        <f t="shared" si="14"/>
        <v/>
      </c>
    </row>
    <row r="942" spans="1:10" x14ac:dyDescent="0.3">
      <c r="A942" s="1"/>
      <c r="B942" s="1"/>
      <c r="C942" s="157"/>
      <c r="D942" s="157"/>
      <c r="E942" s="157"/>
      <c r="F942" s="157"/>
      <c r="G942" s="157"/>
      <c r="H942" s="157"/>
      <c r="J942" t="str">
        <f t="shared" si="14"/>
        <v/>
      </c>
    </row>
    <row r="943" spans="1:10" x14ac:dyDescent="0.3">
      <c r="A943" s="1"/>
      <c r="B943" s="1"/>
      <c r="C943" s="157"/>
      <c r="D943" s="157"/>
      <c r="E943" s="157"/>
      <c r="F943" s="157"/>
      <c r="G943" s="157"/>
      <c r="H943" s="157"/>
      <c r="J943" t="str">
        <f t="shared" si="14"/>
        <v/>
      </c>
    </row>
    <row r="944" spans="1:10" x14ac:dyDescent="0.3">
      <c r="A944" s="1"/>
      <c r="B944" s="1"/>
      <c r="C944" s="157"/>
      <c r="D944" s="157"/>
      <c r="E944" s="157"/>
      <c r="F944" s="157"/>
      <c r="G944" s="157"/>
      <c r="H944" s="157"/>
      <c r="J944" t="str">
        <f t="shared" si="14"/>
        <v/>
      </c>
    </row>
    <row r="945" spans="1:10" x14ac:dyDescent="0.3">
      <c r="A945" s="1"/>
      <c r="B945" s="1"/>
      <c r="C945" s="157"/>
      <c r="D945" s="157"/>
      <c r="E945" s="157"/>
      <c r="F945" s="157"/>
      <c r="G945" s="157"/>
      <c r="H945" s="157"/>
      <c r="J945" t="str">
        <f t="shared" si="14"/>
        <v/>
      </c>
    </row>
    <row r="946" spans="1:10" x14ac:dyDescent="0.3">
      <c r="A946" s="1"/>
      <c r="B946" s="1"/>
      <c r="C946" s="157"/>
      <c r="D946" s="157"/>
      <c r="E946" s="157"/>
      <c r="F946" s="157"/>
      <c r="G946" s="157"/>
      <c r="H946" s="157"/>
      <c r="J946" t="str">
        <f t="shared" si="14"/>
        <v/>
      </c>
    </row>
    <row r="947" spans="1:10" x14ac:dyDescent="0.3">
      <c r="A947" s="1"/>
      <c r="B947" s="1"/>
      <c r="C947" s="157"/>
      <c r="D947" s="157"/>
      <c r="E947" s="157"/>
      <c r="F947" s="157"/>
      <c r="G947" s="157"/>
      <c r="H947" s="157"/>
      <c r="J947" t="str">
        <f t="shared" si="14"/>
        <v/>
      </c>
    </row>
    <row r="948" spans="1:10" x14ac:dyDescent="0.3">
      <c r="A948" s="1"/>
      <c r="B948" s="1"/>
      <c r="C948" s="157"/>
      <c r="D948" s="157"/>
      <c r="E948" s="157"/>
      <c r="F948" s="157"/>
      <c r="G948" s="157"/>
      <c r="H948" s="157"/>
      <c r="J948" t="str">
        <f t="shared" si="14"/>
        <v/>
      </c>
    </row>
    <row r="949" spans="1:10" x14ac:dyDescent="0.3">
      <c r="A949" s="1"/>
      <c r="B949" s="1"/>
      <c r="C949" s="157"/>
      <c r="D949" s="157"/>
      <c r="E949" s="157"/>
      <c r="F949" s="157"/>
      <c r="G949" s="157"/>
      <c r="H949" s="157"/>
      <c r="J949" t="str">
        <f t="shared" si="14"/>
        <v/>
      </c>
    </row>
    <row r="950" spans="1:10" x14ac:dyDescent="0.3">
      <c r="A950" s="1"/>
      <c r="B950" s="1"/>
      <c r="C950" s="157"/>
      <c r="D950" s="157"/>
      <c r="E950" s="157"/>
      <c r="F950" s="157"/>
      <c r="G950" s="157"/>
      <c r="H950" s="157"/>
      <c r="J950" t="str">
        <f t="shared" si="14"/>
        <v/>
      </c>
    </row>
    <row r="951" spans="1:10" x14ac:dyDescent="0.3">
      <c r="A951" s="1"/>
      <c r="B951" s="1"/>
      <c r="C951" s="157"/>
      <c r="D951" s="157"/>
      <c r="E951" s="157"/>
      <c r="F951" s="157"/>
      <c r="G951" s="157"/>
      <c r="H951" s="157"/>
      <c r="J951" t="str">
        <f t="shared" si="14"/>
        <v/>
      </c>
    </row>
    <row r="952" spans="1:10" x14ac:dyDescent="0.3">
      <c r="A952" s="1"/>
      <c r="B952" s="1"/>
      <c r="C952" s="157"/>
      <c r="D952" s="157"/>
      <c r="E952" s="157"/>
      <c r="F952" s="157"/>
      <c r="G952" s="157"/>
      <c r="H952" s="157"/>
      <c r="J952" t="str">
        <f t="shared" si="14"/>
        <v/>
      </c>
    </row>
    <row r="953" spans="1:10" x14ac:dyDescent="0.3">
      <c r="A953" s="1"/>
      <c r="B953" s="1"/>
      <c r="C953" s="157"/>
      <c r="D953" s="157"/>
      <c r="E953" s="157"/>
      <c r="F953" s="157"/>
      <c r="G953" s="157"/>
      <c r="H953" s="157"/>
      <c r="J953" t="str">
        <f t="shared" si="14"/>
        <v/>
      </c>
    </row>
    <row r="954" spans="1:10" x14ac:dyDescent="0.3">
      <c r="A954" s="1"/>
      <c r="B954" s="1"/>
      <c r="C954" s="157"/>
      <c r="D954" s="157"/>
      <c r="E954" s="157"/>
      <c r="F954" s="157"/>
      <c r="G954" s="157"/>
      <c r="H954" s="157"/>
      <c r="J954" t="str">
        <f t="shared" si="14"/>
        <v/>
      </c>
    </row>
    <row r="955" spans="1:10" x14ac:dyDescent="0.3">
      <c r="A955" s="1"/>
      <c r="B955" s="1"/>
      <c r="C955" s="157"/>
      <c r="D955" s="157"/>
      <c r="E955" s="157"/>
      <c r="F955" s="157"/>
      <c r="G955" s="157"/>
      <c r="H955" s="157"/>
      <c r="J955" t="str">
        <f t="shared" si="14"/>
        <v/>
      </c>
    </row>
    <row r="956" spans="1:10" x14ac:dyDescent="0.3">
      <c r="A956" s="1"/>
      <c r="B956" s="1"/>
      <c r="C956" s="157"/>
      <c r="D956" s="157"/>
      <c r="E956" s="157"/>
      <c r="F956" s="157"/>
      <c r="G956" s="157"/>
      <c r="H956" s="157"/>
      <c r="J956" t="str">
        <f t="shared" si="14"/>
        <v/>
      </c>
    </row>
    <row r="957" spans="1:10" x14ac:dyDescent="0.3">
      <c r="A957" s="1"/>
      <c r="B957" s="1"/>
      <c r="C957" s="157"/>
      <c r="D957" s="157"/>
      <c r="E957" s="157"/>
      <c r="F957" s="157"/>
      <c r="G957" s="157"/>
      <c r="H957" s="157"/>
      <c r="J957" t="str">
        <f t="shared" si="14"/>
        <v/>
      </c>
    </row>
    <row r="958" spans="1:10" x14ac:dyDescent="0.3">
      <c r="A958" s="1"/>
      <c r="B958" s="1"/>
      <c r="C958" s="157"/>
      <c r="D958" s="157"/>
      <c r="E958" s="157"/>
      <c r="F958" s="157"/>
      <c r="G958" s="157"/>
      <c r="H958" s="157"/>
      <c r="J958" t="str">
        <f t="shared" si="14"/>
        <v/>
      </c>
    </row>
    <row r="959" spans="1:10" x14ac:dyDescent="0.3">
      <c r="A959" s="1"/>
      <c r="B959" s="1"/>
      <c r="C959" s="157"/>
      <c r="D959" s="157"/>
      <c r="E959" s="157"/>
      <c r="F959" s="157"/>
      <c r="G959" s="157"/>
      <c r="H959" s="157"/>
      <c r="J959" t="str">
        <f t="shared" si="14"/>
        <v/>
      </c>
    </row>
    <row r="960" spans="1:10" x14ac:dyDescent="0.3">
      <c r="A960" s="1"/>
      <c r="B960" s="1"/>
      <c r="C960" s="157"/>
      <c r="D960" s="157"/>
      <c r="E960" s="157"/>
      <c r="F960" s="157"/>
      <c r="G960" s="157"/>
      <c r="H960" s="157"/>
      <c r="J960" t="str">
        <f t="shared" si="14"/>
        <v/>
      </c>
    </row>
    <row r="961" spans="1:10" x14ac:dyDescent="0.3">
      <c r="A961" s="1"/>
      <c r="B961" s="1"/>
      <c r="C961" s="157"/>
      <c r="D961" s="157"/>
      <c r="E961" s="157"/>
      <c r="F961" s="157"/>
      <c r="G961" s="157"/>
      <c r="H961" s="157"/>
      <c r="J961" t="str">
        <f t="shared" si="14"/>
        <v/>
      </c>
    </row>
    <row r="962" spans="1:10" x14ac:dyDescent="0.3">
      <c r="A962" s="1"/>
      <c r="B962" s="1"/>
      <c r="C962" s="157"/>
      <c r="D962" s="157"/>
      <c r="E962" s="157"/>
      <c r="F962" s="157"/>
      <c r="G962" s="157"/>
      <c r="H962" s="157"/>
      <c r="J962" t="str">
        <f t="shared" ref="J962:J1000" si="15">IF(B962 &lt;&gt; "",(IF(C962&lt;&gt;"",CONCATENATE(A962, " ", B962,"  - ",C962,IF(D962&lt;&gt;"","/",""),D962),CONCATENATE(A962, " ",B962,IF(D962&lt;&gt;"","  - ",""),D962))),"")</f>
        <v/>
      </c>
    </row>
    <row r="963" spans="1:10" x14ac:dyDescent="0.3">
      <c r="A963" s="1"/>
      <c r="B963" s="1"/>
      <c r="C963" s="157"/>
      <c r="D963" s="157"/>
      <c r="E963" s="157"/>
      <c r="F963" s="157"/>
      <c r="G963" s="157"/>
      <c r="H963" s="157"/>
      <c r="J963" t="str">
        <f t="shared" si="15"/>
        <v/>
      </c>
    </row>
    <row r="964" spans="1:10" x14ac:dyDescent="0.3">
      <c r="A964" s="1"/>
      <c r="B964" s="1"/>
      <c r="C964" s="157"/>
      <c r="D964" s="157"/>
      <c r="E964" s="157"/>
      <c r="F964" s="157"/>
      <c r="G964" s="157"/>
      <c r="H964" s="157"/>
      <c r="J964" t="str">
        <f t="shared" si="15"/>
        <v/>
      </c>
    </row>
    <row r="965" spans="1:10" x14ac:dyDescent="0.3">
      <c r="A965" s="1"/>
      <c r="B965" s="1"/>
      <c r="C965" s="157"/>
      <c r="D965" s="157"/>
      <c r="E965" s="157"/>
      <c r="F965" s="157"/>
      <c r="G965" s="157"/>
      <c r="H965" s="157"/>
      <c r="J965" t="str">
        <f t="shared" si="15"/>
        <v/>
      </c>
    </row>
    <row r="966" spans="1:10" x14ac:dyDescent="0.3">
      <c r="A966" s="1"/>
      <c r="B966" s="1"/>
      <c r="C966" s="157"/>
      <c r="D966" s="157"/>
      <c r="E966" s="157"/>
      <c r="F966" s="157"/>
      <c r="G966" s="157"/>
      <c r="H966" s="157"/>
      <c r="J966" t="str">
        <f t="shared" si="15"/>
        <v/>
      </c>
    </row>
    <row r="967" spans="1:10" x14ac:dyDescent="0.3">
      <c r="A967" s="1"/>
      <c r="B967" s="1"/>
      <c r="C967" s="157"/>
      <c r="D967" s="157"/>
      <c r="E967" s="157"/>
      <c r="F967" s="157"/>
      <c r="G967" s="157"/>
      <c r="H967" s="157"/>
      <c r="J967" t="str">
        <f t="shared" si="15"/>
        <v/>
      </c>
    </row>
    <row r="968" spans="1:10" x14ac:dyDescent="0.3">
      <c r="A968" s="1"/>
      <c r="B968" s="1"/>
      <c r="C968" s="157"/>
      <c r="D968" s="157"/>
      <c r="E968" s="157"/>
      <c r="F968" s="157"/>
      <c r="G968" s="157"/>
      <c r="H968" s="157"/>
      <c r="J968" t="str">
        <f t="shared" si="15"/>
        <v/>
      </c>
    </row>
    <row r="969" spans="1:10" x14ac:dyDescent="0.3">
      <c r="A969" s="1"/>
      <c r="B969" s="1"/>
      <c r="C969" s="157"/>
      <c r="D969" s="157"/>
      <c r="E969" s="157"/>
      <c r="F969" s="157"/>
      <c r="G969" s="157"/>
      <c r="H969" s="157"/>
      <c r="J969" t="str">
        <f t="shared" si="15"/>
        <v/>
      </c>
    </row>
    <row r="970" spans="1:10" x14ac:dyDescent="0.3">
      <c r="A970" s="1"/>
      <c r="B970" s="1"/>
      <c r="C970" s="157"/>
      <c r="D970" s="157"/>
      <c r="E970" s="157"/>
      <c r="F970" s="157"/>
      <c r="G970" s="157"/>
      <c r="H970" s="157"/>
      <c r="J970" t="str">
        <f t="shared" si="15"/>
        <v/>
      </c>
    </row>
    <row r="971" spans="1:10" x14ac:dyDescent="0.3">
      <c r="A971" s="1"/>
      <c r="B971" s="1"/>
      <c r="C971" s="157"/>
      <c r="D971" s="157"/>
      <c r="E971" s="157"/>
      <c r="F971" s="157"/>
      <c r="G971" s="157"/>
      <c r="H971" s="157"/>
      <c r="J971" t="str">
        <f t="shared" si="15"/>
        <v/>
      </c>
    </row>
    <row r="972" spans="1:10" x14ac:dyDescent="0.3">
      <c r="A972" s="1"/>
      <c r="B972" s="1"/>
      <c r="C972" s="157"/>
      <c r="D972" s="157"/>
      <c r="E972" s="157"/>
      <c r="F972" s="157"/>
      <c r="G972" s="157"/>
      <c r="H972" s="157"/>
      <c r="J972" t="str">
        <f t="shared" si="15"/>
        <v/>
      </c>
    </row>
    <row r="973" spans="1:10" x14ac:dyDescent="0.3">
      <c r="A973" s="1"/>
      <c r="B973" s="1"/>
      <c r="C973" s="157"/>
      <c r="D973" s="157"/>
      <c r="E973" s="157"/>
      <c r="F973" s="157"/>
      <c r="G973" s="157"/>
      <c r="H973" s="157"/>
      <c r="J973" t="str">
        <f t="shared" si="15"/>
        <v/>
      </c>
    </row>
    <row r="974" spans="1:10" x14ac:dyDescent="0.3">
      <c r="A974" s="1"/>
      <c r="B974" s="1"/>
      <c r="C974" s="157"/>
      <c r="D974" s="157"/>
      <c r="E974" s="157"/>
      <c r="F974" s="157"/>
      <c r="G974" s="157"/>
      <c r="H974" s="157"/>
      <c r="J974" t="str">
        <f t="shared" si="15"/>
        <v/>
      </c>
    </row>
    <row r="975" spans="1:10" x14ac:dyDescent="0.3">
      <c r="A975" s="1"/>
      <c r="B975" s="1"/>
      <c r="C975" s="157"/>
      <c r="D975" s="157"/>
      <c r="E975" s="157"/>
      <c r="F975" s="157"/>
      <c r="G975" s="157"/>
      <c r="H975" s="157"/>
      <c r="J975" t="str">
        <f t="shared" si="15"/>
        <v/>
      </c>
    </row>
    <row r="976" spans="1:10" x14ac:dyDescent="0.3">
      <c r="A976" s="1"/>
      <c r="B976" s="1"/>
      <c r="C976" s="157"/>
      <c r="D976" s="157"/>
      <c r="E976" s="157"/>
      <c r="F976" s="157"/>
      <c r="G976" s="157"/>
      <c r="H976" s="157"/>
      <c r="J976" t="str">
        <f t="shared" si="15"/>
        <v/>
      </c>
    </row>
    <row r="977" spans="1:10" x14ac:dyDescent="0.3">
      <c r="A977" s="1"/>
      <c r="B977" s="1"/>
      <c r="C977" s="157"/>
      <c r="D977" s="157"/>
      <c r="E977" s="157"/>
      <c r="F977" s="157"/>
      <c r="G977" s="157"/>
      <c r="H977" s="157"/>
      <c r="J977" t="str">
        <f t="shared" si="15"/>
        <v/>
      </c>
    </row>
    <row r="978" spans="1:10" x14ac:dyDescent="0.3">
      <c r="A978" s="1"/>
      <c r="B978" s="1"/>
      <c r="C978" s="157"/>
      <c r="D978" s="157"/>
      <c r="E978" s="157"/>
      <c r="F978" s="157"/>
      <c r="G978" s="157"/>
      <c r="H978" s="157"/>
      <c r="J978" t="str">
        <f t="shared" si="15"/>
        <v/>
      </c>
    </row>
    <row r="979" spans="1:10" x14ac:dyDescent="0.3">
      <c r="A979" s="1"/>
      <c r="B979" s="1"/>
      <c r="C979" s="157"/>
      <c r="D979" s="157"/>
      <c r="E979" s="157"/>
      <c r="F979" s="157"/>
      <c r="G979" s="157"/>
      <c r="H979" s="157"/>
      <c r="J979" t="str">
        <f t="shared" si="15"/>
        <v/>
      </c>
    </row>
    <row r="980" spans="1:10" x14ac:dyDescent="0.3">
      <c r="A980" s="1"/>
      <c r="B980" s="1"/>
      <c r="C980" s="157"/>
      <c r="D980" s="157"/>
      <c r="E980" s="157"/>
      <c r="F980" s="157"/>
      <c r="G980" s="157"/>
      <c r="H980" s="157"/>
      <c r="J980" t="str">
        <f t="shared" si="15"/>
        <v/>
      </c>
    </row>
    <row r="981" spans="1:10" x14ac:dyDescent="0.3">
      <c r="A981" s="1"/>
      <c r="B981" s="1"/>
      <c r="C981" s="157"/>
      <c r="D981" s="157"/>
      <c r="E981" s="157"/>
      <c r="F981" s="157"/>
      <c r="G981" s="157"/>
      <c r="H981" s="157"/>
      <c r="J981" t="str">
        <f t="shared" si="15"/>
        <v/>
      </c>
    </row>
    <row r="982" spans="1:10" x14ac:dyDescent="0.3">
      <c r="A982" s="1"/>
      <c r="B982" s="1"/>
      <c r="C982" s="157"/>
      <c r="D982" s="157"/>
      <c r="E982" s="157"/>
      <c r="F982" s="157"/>
      <c r="G982" s="157"/>
      <c r="H982" s="157"/>
      <c r="J982" t="str">
        <f t="shared" si="15"/>
        <v/>
      </c>
    </row>
    <row r="983" spans="1:10" x14ac:dyDescent="0.3">
      <c r="A983" s="1"/>
      <c r="B983" s="1"/>
      <c r="C983" s="157"/>
      <c r="D983" s="157"/>
      <c r="E983" s="157"/>
      <c r="F983" s="157"/>
      <c r="G983" s="157"/>
      <c r="H983" s="157"/>
      <c r="J983" t="str">
        <f t="shared" si="15"/>
        <v/>
      </c>
    </row>
    <row r="984" spans="1:10" x14ac:dyDescent="0.3">
      <c r="A984" s="1"/>
      <c r="B984" s="1"/>
      <c r="C984" s="157"/>
      <c r="D984" s="157"/>
      <c r="E984" s="157"/>
      <c r="F984" s="157"/>
      <c r="G984" s="157"/>
      <c r="H984" s="157"/>
      <c r="J984" t="str">
        <f t="shared" si="15"/>
        <v/>
      </c>
    </row>
    <row r="985" spans="1:10" x14ac:dyDescent="0.3">
      <c r="A985" s="1"/>
      <c r="B985" s="1"/>
      <c r="C985" s="157"/>
      <c r="D985" s="157"/>
      <c r="E985" s="157"/>
      <c r="F985" s="157"/>
      <c r="G985" s="157"/>
      <c r="H985" s="157"/>
      <c r="J985" t="str">
        <f t="shared" si="15"/>
        <v/>
      </c>
    </row>
    <row r="986" spans="1:10" x14ac:dyDescent="0.3">
      <c r="A986" s="1"/>
      <c r="B986" s="1"/>
      <c r="C986" s="157"/>
      <c r="D986" s="157"/>
      <c r="E986" s="157"/>
      <c r="F986" s="157"/>
      <c r="G986" s="157"/>
      <c r="H986" s="157"/>
      <c r="J986" t="str">
        <f t="shared" si="15"/>
        <v/>
      </c>
    </row>
    <row r="987" spans="1:10" x14ac:dyDescent="0.3">
      <c r="A987" s="1"/>
      <c r="B987" s="1"/>
      <c r="C987" s="157"/>
      <c r="D987" s="157"/>
      <c r="E987" s="157"/>
      <c r="F987" s="157"/>
      <c r="G987" s="157"/>
      <c r="H987" s="157"/>
      <c r="J987" t="str">
        <f t="shared" si="15"/>
        <v/>
      </c>
    </row>
    <row r="988" spans="1:10" x14ac:dyDescent="0.3">
      <c r="A988" s="1"/>
      <c r="B988" s="1"/>
      <c r="C988" s="157"/>
      <c r="D988" s="157"/>
      <c r="E988" s="157"/>
      <c r="F988" s="157"/>
      <c r="G988" s="157"/>
      <c r="H988" s="157"/>
      <c r="J988" t="str">
        <f t="shared" si="15"/>
        <v/>
      </c>
    </row>
    <row r="989" spans="1:10" x14ac:dyDescent="0.3">
      <c r="A989" s="1"/>
      <c r="B989" s="1"/>
      <c r="C989" s="157"/>
      <c r="D989" s="157"/>
      <c r="E989" s="157"/>
      <c r="F989" s="157"/>
      <c r="G989" s="157"/>
      <c r="H989" s="157"/>
      <c r="J989" t="str">
        <f t="shared" si="15"/>
        <v/>
      </c>
    </row>
    <row r="990" spans="1:10" x14ac:dyDescent="0.3">
      <c r="A990" s="1"/>
      <c r="B990" s="1"/>
      <c r="C990" s="157"/>
      <c r="D990" s="157"/>
      <c r="E990" s="157"/>
      <c r="F990" s="157"/>
      <c r="G990" s="157"/>
      <c r="H990" s="157"/>
      <c r="J990" t="str">
        <f t="shared" si="15"/>
        <v/>
      </c>
    </row>
    <row r="991" spans="1:10" x14ac:dyDescent="0.3">
      <c r="A991" s="1"/>
      <c r="B991" s="1"/>
      <c r="C991" s="157"/>
      <c r="D991" s="157"/>
      <c r="E991" s="157"/>
      <c r="F991" s="157"/>
      <c r="G991" s="157"/>
      <c r="H991" s="157"/>
      <c r="J991" t="str">
        <f t="shared" si="15"/>
        <v/>
      </c>
    </row>
    <row r="992" spans="1:10" x14ac:dyDescent="0.3">
      <c r="A992" s="1"/>
      <c r="B992" s="1"/>
      <c r="C992" s="157"/>
      <c r="D992" s="157"/>
      <c r="E992" s="157"/>
      <c r="F992" s="157"/>
      <c r="G992" s="157"/>
      <c r="H992" s="157"/>
      <c r="J992" t="str">
        <f t="shared" si="15"/>
        <v/>
      </c>
    </row>
    <row r="993" spans="1:10" x14ac:dyDescent="0.3">
      <c r="A993" s="1"/>
      <c r="B993" s="1"/>
      <c r="C993" s="157"/>
      <c r="D993" s="157"/>
      <c r="E993" s="157"/>
      <c r="F993" s="157"/>
      <c r="G993" s="157"/>
      <c r="H993" s="157"/>
      <c r="J993" t="str">
        <f t="shared" si="15"/>
        <v/>
      </c>
    </row>
    <row r="994" spans="1:10" x14ac:dyDescent="0.3">
      <c r="A994" s="1"/>
      <c r="B994" s="1"/>
      <c r="C994" s="157"/>
      <c r="D994" s="157"/>
      <c r="E994" s="157"/>
      <c r="F994" s="157"/>
      <c r="G994" s="157"/>
      <c r="H994" s="157"/>
      <c r="J994" t="str">
        <f t="shared" si="15"/>
        <v/>
      </c>
    </row>
    <row r="995" spans="1:10" x14ac:dyDescent="0.3">
      <c r="A995" s="1"/>
      <c r="B995" s="1"/>
      <c r="C995" s="157"/>
      <c r="D995" s="157"/>
      <c r="E995" s="157"/>
      <c r="F995" s="157"/>
      <c r="G995" s="157"/>
      <c r="H995" s="157"/>
      <c r="J995" t="str">
        <f t="shared" si="15"/>
        <v/>
      </c>
    </row>
    <row r="996" spans="1:10" x14ac:dyDescent="0.3">
      <c r="A996" s="1"/>
      <c r="B996" s="1"/>
      <c r="C996" s="157"/>
      <c r="D996" s="157"/>
      <c r="E996" s="157"/>
      <c r="F996" s="157"/>
      <c r="G996" s="157"/>
      <c r="H996" s="157"/>
      <c r="J996" t="str">
        <f t="shared" si="15"/>
        <v/>
      </c>
    </row>
    <row r="997" spans="1:10" x14ac:dyDescent="0.3">
      <c r="A997" s="1"/>
      <c r="B997" s="1"/>
      <c r="C997" s="157"/>
      <c r="D997" s="157"/>
      <c r="E997" s="157"/>
      <c r="F997" s="157"/>
      <c r="G997" s="157"/>
      <c r="H997" s="157"/>
      <c r="J997" t="str">
        <f t="shared" si="15"/>
        <v/>
      </c>
    </row>
    <row r="998" spans="1:10" x14ac:dyDescent="0.3">
      <c r="A998" s="1"/>
      <c r="B998" s="1"/>
      <c r="C998" s="157"/>
      <c r="D998" s="157"/>
      <c r="E998" s="157"/>
      <c r="F998" s="157"/>
      <c r="G998" s="157"/>
      <c r="H998" s="157"/>
      <c r="J998" t="str">
        <f t="shared" si="15"/>
        <v/>
      </c>
    </row>
    <row r="999" spans="1:10" x14ac:dyDescent="0.3">
      <c r="A999" s="1"/>
      <c r="B999" s="1"/>
      <c r="C999" s="157"/>
      <c r="D999" s="157"/>
      <c r="E999" s="157"/>
      <c r="F999" s="157"/>
      <c r="G999" s="157"/>
      <c r="H999" s="157"/>
      <c r="J999" t="str">
        <f t="shared" si="15"/>
        <v/>
      </c>
    </row>
    <row r="1000" spans="1:10" x14ac:dyDescent="0.3">
      <c r="A1000" s="1"/>
      <c r="B1000" s="1"/>
      <c r="C1000" s="157"/>
      <c r="D1000" s="157"/>
      <c r="E1000" s="157"/>
      <c r="F1000" s="157"/>
      <c r="G1000" s="157"/>
      <c r="H1000" s="157"/>
      <c r="J1000" t="str">
        <f t="shared" si="15"/>
        <v/>
      </c>
    </row>
  </sheetData>
  <sheetProtection sort="0" autoFilter="0"/>
  <autoFilter ref="A1:H35" xr:uid="{00000000-0009-0000-0000-000003000000}"/>
  <dataValidations count="1">
    <dataValidation type="list" allowBlank="1" showInputMessage="1" showErrorMessage="1" sqref="H2:H1000" xr:uid="{00000000-0002-0000-0300-000000000000}">
      <formula1>TaxRates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Group Box 3">
              <controlPr defaultSize="0" autoFill="0" autoPict="0">
                <anchor>
                  <from>
                    <xdr:col>11</xdr:col>
                    <xdr:colOff>45720</xdr:colOff>
                    <xdr:row>0</xdr:row>
                    <xdr:rowOff>99060</xdr:rowOff>
                  </from>
                  <to>
                    <xdr:col>11</xdr:col>
                    <xdr:colOff>1623060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autoFill="0" autoPict="0" macro="[0]!AddItemToInvoice">
                <anchor>
                  <from>
                    <xdr:col>11</xdr:col>
                    <xdr:colOff>335280</xdr:colOff>
                    <xdr:row>1</xdr:row>
                    <xdr:rowOff>152400</xdr:rowOff>
                  </from>
                  <to>
                    <xdr:col>11</xdr:col>
                    <xdr:colOff>1325880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Pict="0" macro="[0]!AddItemToUpdate">
                <anchor>
                  <from>
                    <xdr:col>11</xdr:col>
                    <xdr:colOff>335280</xdr:colOff>
                    <xdr:row>4</xdr:row>
                    <xdr:rowOff>114300</xdr:rowOff>
                  </from>
                  <to>
                    <xdr:col>11</xdr:col>
                    <xdr:colOff>1325880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0"/>
  <sheetViews>
    <sheetView workbookViewId="0">
      <selection activeCell="A10" sqref="A10"/>
    </sheetView>
  </sheetViews>
  <sheetFormatPr defaultColWidth="9.109375" defaultRowHeight="14.4" x14ac:dyDescent="0.3"/>
  <cols>
    <col min="1" max="1" width="11.88671875" style="82" customWidth="1"/>
    <col min="2" max="2" width="15.6640625" style="82" bestFit="1" customWidth="1"/>
    <col min="3" max="3" width="12.33203125" style="82" bestFit="1" customWidth="1"/>
    <col min="4" max="4" width="15.6640625" style="82" bestFit="1" customWidth="1"/>
    <col min="5" max="5" width="15.6640625" style="82" customWidth="1"/>
    <col min="6" max="6" width="9.88671875" style="82" bestFit="1" customWidth="1"/>
    <col min="7" max="16384" width="9.109375" style="82"/>
  </cols>
  <sheetData>
    <row r="1" spans="1:6" x14ac:dyDescent="0.3">
      <c r="A1" s="143" t="s">
        <v>21</v>
      </c>
      <c r="B1" s="144" t="s">
        <v>34</v>
      </c>
      <c r="C1" s="144" t="s">
        <v>31</v>
      </c>
      <c r="D1" s="144" t="s">
        <v>33</v>
      </c>
      <c r="E1" s="144" t="s">
        <v>35</v>
      </c>
      <c r="F1" s="144" t="s">
        <v>36</v>
      </c>
    </row>
    <row r="2" spans="1:6" x14ac:dyDescent="0.3">
      <c r="A2" s="145" t="s">
        <v>22</v>
      </c>
      <c r="B2" s="146">
        <v>5</v>
      </c>
      <c r="C2" s="146" t="s">
        <v>94</v>
      </c>
      <c r="D2" s="146">
        <v>2.5</v>
      </c>
      <c r="E2" s="146" t="s">
        <v>95</v>
      </c>
      <c r="F2" s="146">
        <v>2.5</v>
      </c>
    </row>
    <row r="3" spans="1:6" x14ac:dyDescent="0.3">
      <c r="A3" s="145" t="s">
        <v>23</v>
      </c>
      <c r="B3" s="146">
        <v>12</v>
      </c>
      <c r="C3" s="146" t="s">
        <v>127</v>
      </c>
      <c r="D3" s="146">
        <v>6</v>
      </c>
      <c r="E3" s="146" t="s">
        <v>134</v>
      </c>
      <c r="F3" s="146">
        <v>6</v>
      </c>
    </row>
    <row r="4" spans="1:6" x14ac:dyDescent="0.3">
      <c r="A4" s="145" t="s">
        <v>24</v>
      </c>
      <c r="B4" s="146">
        <v>18</v>
      </c>
      <c r="C4" s="146" t="s">
        <v>128</v>
      </c>
      <c r="D4" s="146">
        <v>9</v>
      </c>
      <c r="E4" s="146" t="s">
        <v>135</v>
      </c>
      <c r="F4" s="146">
        <v>9</v>
      </c>
    </row>
    <row r="5" spans="1:6" x14ac:dyDescent="0.3">
      <c r="A5" s="145" t="s">
        <v>25</v>
      </c>
      <c r="B5" s="146">
        <v>28</v>
      </c>
      <c r="C5" s="146" t="s">
        <v>129</v>
      </c>
      <c r="D5" s="146">
        <v>14</v>
      </c>
      <c r="E5" s="146" t="s">
        <v>136</v>
      </c>
      <c r="F5" s="146">
        <v>14</v>
      </c>
    </row>
    <row r="6" spans="1:6" x14ac:dyDescent="0.3">
      <c r="A6" s="145" t="s">
        <v>26</v>
      </c>
      <c r="B6" s="146">
        <v>5</v>
      </c>
      <c r="C6" s="146" t="s">
        <v>130</v>
      </c>
      <c r="D6" s="146">
        <v>5</v>
      </c>
      <c r="E6" s="146"/>
      <c r="F6" s="146"/>
    </row>
    <row r="7" spans="1:6" x14ac:dyDescent="0.3">
      <c r="A7" s="145" t="s">
        <v>27</v>
      </c>
      <c r="B7" s="146">
        <v>12</v>
      </c>
      <c r="C7" s="146" t="s">
        <v>131</v>
      </c>
      <c r="D7" s="146">
        <v>12</v>
      </c>
      <c r="E7" s="146"/>
      <c r="F7" s="146"/>
    </row>
    <row r="8" spans="1:6" x14ac:dyDescent="0.3">
      <c r="A8" s="145" t="s">
        <v>28</v>
      </c>
      <c r="B8" s="146">
        <v>18</v>
      </c>
      <c r="C8" s="146" t="s">
        <v>132</v>
      </c>
      <c r="D8" s="146">
        <v>18</v>
      </c>
      <c r="E8" s="146"/>
      <c r="F8" s="146"/>
    </row>
    <row r="9" spans="1:6" x14ac:dyDescent="0.3">
      <c r="A9" s="147" t="s">
        <v>29</v>
      </c>
      <c r="B9" s="146">
        <v>28</v>
      </c>
      <c r="C9" s="146" t="s">
        <v>133</v>
      </c>
      <c r="D9" s="146">
        <v>28</v>
      </c>
      <c r="E9" s="146"/>
      <c r="F9" s="146"/>
    </row>
    <row r="10" spans="1:6" x14ac:dyDescent="0.3">
      <c r="A10" s="147" t="s">
        <v>52</v>
      </c>
      <c r="B10" s="146">
        <v>0</v>
      </c>
      <c r="C10" s="146"/>
      <c r="D10" s="146"/>
      <c r="E10" s="146"/>
      <c r="F10" s="146"/>
    </row>
    <row r="11" spans="1:6" x14ac:dyDescent="0.3">
      <c r="A11" s="146"/>
      <c r="B11" s="146"/>
      <c r="C11" s="146"/>
      <c r="D11" s="146"/>
      <c r="E11" s="146"/>
      <c r="F11" s="146"/>
    </row>
    <row r="12" spans="1:6" x14ac:dyDescent="0.3">
      <c r="A12" s="146"/>
      <c r="B12" s="146"/>
      <c r="C12" s="146"/>
      <c r="D12" s="146"/>
      <c r="E12" s="146"/>
      <c r="F12" s="146"/>
    </row>
    <row r="13" spans="1:6" x14ac:dyDescent="0.3">
      <c r="A13" s="146"/>
      <c r="B13" s="146"/>
      <c r="C13" s="146"/>
      <c r="D13" s="146"/>
      <c r="E13" s="146"/>
      <c r="F13" s="146"/>
    </row>
    <row r="14" spans="1:6" x14ac:dyDescent="0.3">
      <c r="A14" s="146"/>
      <c r="B14" s="146"/>
      <c r="C14" s="146"/>
      <c r="D14" s="146"/>
      <c r="E14" s="146"/>
      <c r="F14" s="146"/>
    </row>
    <row r="15" spans="1:6" x14ac:dyDescent="0.3">
      <c r="A15" s="146"/>
      <c r="B15" s="146"/>
      <c r="C15" s="146"/>
      <c r="D15" s="146"/>
      <c r="E15" s="146"/>
      <c r="F15" s="146"/>
    </row>
    <row r="16" spans="1:6" x14ac:dyDescent="0.3">
      <c r="A16" s="146"/>
      <c r="B16" s="146"/>
      <c r="C16" s="146"/>
      <c r="D16" s="146"/>
      <c r="E16" s="146"/>
      <c r="F16" s="146"/>
    </row>
    <row r="17" spans="1:6" x14ac:dyDescent="0.3">
      <c r="A17" s="146"/>
      <c r="B17" s="146"/>
      <c r="C17" s="146"/>
      <c r="D17" s="146"/>
      <c r="E17" s="146"/>
      <c r="F17" s="146"/>
    </row>
    <row r="18" spans="1:6" x14ac:dyDescent="0.3">
      <c r="A18" s="146"/>
      <c r="B18" s="146"/>
      <c r="C18" s="146"/>
      <c r="D18" s="146"/>
      <c r="E18" s="146"/>
      <c r="F18" s="146"/>
    </row>
    <row r="19" spans="1:6" x14ac:dyDescent="0.3">
      <c r="A19" s="146"/>
      <c r="B19" s="146"/>
      <c r="C19" s="146"/>
      <c r="D19" s="146"/>
      <c r="E19" s="146"/>
      <c r="F19" s="146"/>
    </row>
    <row r="20" spans="1:6" x14ac:dyDescent="0.3">
      <c r="A20" s="146"/>
      <c r="B20" s="146"/>
      <c r="C20" s="146"/>
      <c r="D20" s="146"/>
      <c r="E20" s="146"/>
      <c r="F20" s="146"/>
    </row>
  </sheetData>
  <conditionalFormatting sqref="A2:F20">
    <cfRule type="expression" dxfId="15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50"/>
  <sheetViews>
    <sheetView workbookViewId="0">
      <selection activeCell="B21" sqref="B21"/>
    </sheetView>
  </sheetViews>
  <sheetFormatPr defaultColWidth="22.6640625" defaultRowHeight="14.4" x14ac:dyDescent="0.3"/>
  <cols>
    <col min="1" max="1" width="34.44140625" customWidth="1"/>
    <col min="2" max="2" width="40.88671875" bestFit="1" customWidth="1"/>
    <col min="3" max="3" width="17.109375" customWidth="1"/>
    <col min="4" max="4" width="19.88671875" customWidth="1"/>
    <col min="5" max="5" width="18" customWidth="1"/>
    <col min="6" max="6" width="14" bestFit="1" customWidth="1"/>
  </cols>
  <sheetData>
    <row r="1" spans="1:6" x14ac:dyDescent="0.3">
      <c r="A1" s="4" t="s">
        <v>14</v>
      </c>
      <c r="B1" s="5" t="s">
        <v>15</v>
      </c>
      <c r="C1" s="5" t="s">
        <v>16</v>
      </c>
      <c r="D1" s="5" t="s">
        <v>17</v>
      </c>
      <c r="E1" s="5" t="s">
        <v>18</v>
      </c>
      <c r="F1" s="5" t="s">
        <v>19</v>
      </c>
    </row>
    <row r="2" spans="1:6" x14ac:dyDescent="0.3">
      <c r="A2" s="6" t="s">
        <v>20</v>
      </c>
      <c r="B2" s="1" t="s">
        <v>84</v>
      </c>
      <c r="C2" s="1">
        <v>9604584259</v>
      </c>
      <c r="D2" s="1"/>
      <c r="E2" s="1"/>
      <c r="F2" s="1"/>
    </row>
    <row r="3" spans="1:6" x14ac:dyDescent="0.3">
      <c r="A3" s="6" t="s">
        <v>146</v>
      </c>
      <c r="B3" s="1" t="s">
        <v>147</v>
      </c>
      <c r="C3" s="1" t="s">
        <v>148</v>
      </c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58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  <row r="10" spans="1:6" x14ac:dyDescent="0.3">
      <c r="A10" s="1"/>
      <c r="B10" s="1"/>
      <c r="C10" s="1"/>
      <c r="D10" s="1"/>
      <c r="E10" s="1"/>
      <c r="F10" s="1"/>
    </row>
    <row r="11" spans="1:6" x14ac:dyDescent="0.3">
      <c r="A11" s="1"/>
      <c r="B11" s="1"/>
      <c r="C11" s="1"/>
      <c r="D11" s="1"/>
      <c r="E11" s="1"/>
      <c r="F11" s="1"/>
    </row>
    <row r="12" spans="1:6" x14ac:dyDescent="0.3">
      <c r="A12" s="1"/>
      <c r="B12" s="1"/>
      <c r="C12" s="1"/>
      <c r="D12" s="1"/>
      <c r="E12" s="1"/>
      <c r="F12" s="1"/>
    </row>
    <row r="13" spans="1:6" x14ac:dyDescent="0.3">
      <c r="A13" s="1"/>
      <c r="B13" s="1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  <row r="23" spans="1:6" x14ac:dyDescent="0.3">
      <c r="A23" s="1"/>
      <c r="B23" s="1"/>
      <c r="C23" s="1"/>
      <c r="D23" s="1"/>
      <c r="E23" s="1"/>
      <c r="F23" s="1"/>
    </row>
    <row r="24" spans="1:6" x14ac:dyDescent="0.3">
      <c r="A24" s="1"/>
      <c r="B24" s="1"/>
      <c r="C24" s="1"/>
      <c r="D24" s="1"/>
      <c r="E24" s="1"/>
      <c r="F24" s="1"/>
    </row>
    <row r="25" spans="1:6" x14ac:dyDescent="0.3">
      <c r="A25" s="1"/>
      <c r="B25" s="1"/>
      <c r="C25" s="1"/>
      <c r="D25" s="1"/>
      <c r="E25" s="1"/>
      <c r="F25" s="1"/>
    </row>
    <row r="26" spans="1:6" x14ac:dyDescent="0.3">
      <c r="A26" s="1"/>
      <c r="B26" s="1"/>
      <c r="C26" s="1"/>
      <c r="D26" s="1"/>
      <c r="E26" s="1"/>
      <c r="F26" s="1"/>
    </row>
    <row r="27" spans="1:6" x14ac:dyDescent="0.3">
      <c r="A27" s="1"/>
      <c r="B27" s="1"/>
      <c r="C27" s="1"/>
      <c r="D27" s="1"/>
      <c r="E27" s="1"/>
      <c r="F27" s="1"/>
    </row>
    <row r="28" spans="1:6" x14ac:dyDescent="0.3">
      <c r="A28" s="1"/>
      <c r="B28" s="1"/>
      <c r="C28" s="1"/>
      <c r="D28" s="1"/>
      <c r="E28" s="1"/>
      <c r="F28" s="1"/>
    </row>
    <row r="29" spans="1:6" x14ac:dyDescent="0.3">
      <c r="A29" s="1"/>
      <c r="B29" s="1"/>
      <c r="C29" s="1"/>
      <c r="D29" s="1"/>
      <c r="E29" s="1"/>
      <c r="F29" s="1"/>
    </row>
    <row r="30" spans="1:6" x14ac:dyDescent="0.3">
      <c r="A30" s="1"/>
      <c r="B30" s="1"/>
      <c r="C30" s="1"/>
      <c r="D30" s="1"/>
      <c r="E30" s="1"/>
      <c r="F30" s="1"/>
    </row>
    <row r="31" spans="1:6" x14ac:dyDescent="0.3">
      <c r="A31" s="1"/>
      <c r="B31" s="1"/>
      <c r="C31" s="1"/>
      <c r="D31" s="1"/>
      <c r="E31" s="1"/>
      <c r="F31" s="1"/>
    </row>
    <row r="32" spans="1:6" x14ac:dyDescent="0.3">
      <c r="A32" s="1"/>
      <c r="B32" s="1"/>
      <c r="C32" s="1"/>
      <c r="D32" s="1"/>
      <c r="E32" s="1"/>
      <c r="F32" s="1"/>
    </row>
    <row r="33" spans="1:6" x14ac:dyDescent="0.3">
      <c r="A33" s="1"/>
      <c r="B33" s="1"/>
      <c r="C33" s="1"/>
      <c r="D33" s="1"/>
      <c r="E33" s="1"/>
      <c r="F33" s="1"/>
    </row>
    <row r="34" spans="1:6" x14ac:dyDescent="0.3">
      <c r="A34" s="1"/>
      <c r="B34" s="1"/>
      <c r="C34" s="1"/>
      <c r="D34" s="1"/>
      <c r="E34" s="1"/>
      <c r="F34" s="1"/>
    </row>
    <row r="35" spans="1:6" x14ac:dyDescent="0.3">
      <c r="A35" s="1"/>
      <c r="B35" s="1"/>
      <c r="C35" s="1"/>
      <c r="D35" s="1"/>
      <c r="E35" s="1"/>
      <c r="F35" s="1"/>
    </row>
    <row r="36" spans="1:6" x14ac:dyDescent="0.3">
      <c r="A36" s="1"/>
      <c r="B36" s="1"/>
      <c r="C36" s="1"/>
      <c r="D36" s="1"/>
      <c r="E36" s="1"/>
      <c r="F36" s="1"/>
    </row>
    <row r="37" spans="1:6" x14ac:dyDescent="0.3">
      <c r="A37" s="1"/>
      <c r="B37" s="1"/>
      <c r="C37" s="1"/>
      <c r="D37" s="1"/>
      <c r="E37" s="1"/>
      <c r="F37" s="1"/>
    </row>
    <row r="38" spans="1:6" x14ac:dyDescent="0.3">
      <c r="A38" s="1"/>
      <c r="B38" s="1"/>
      <c r="C38" s="1"/>
      <c r="D38" s="1"/>
      <c r="E38" s="1"/>
      <c r="F38" s="1"/>
    </row>
    <row r="39" spans="1:6" x14ac:dyDescent="0.3">
      <c r="A39" s="1"/>
      <c r="B39" s="1"/>
      <c r="C39" s="1"/>
      <c r="D39" s="1"/>
      <c r="E39" s="1"/>
      <c r="F39" s="1"/>
    </row>
    <row r="40" spans="1:6" x14ac:dyDescent="0.3">
      <c r="A40" s="1"/>
      <c r="B40" s="1"/>
      <c r="C40" s="1"/>
      <c r="D40" s="1"/>
      <c r="E40" s="1"/>
      <c r="F40" s="1"/>
    </row>
    <row r="41" spans="1:6" x14ac:dyDescent="0.3">
      <c r="A41" s="1"/>
      <c r="B41" s="1"/>
      <c r="C41" s="1"/>
      <c r="D41" s="1"/>
      <c r="E41" s="1"/>
      <c r="F41" s="1"/>
    </row>
    <row r="42" spans="1:6" x14ac:dyDescent="0.3">
      <c r="A42" s="1"/>
      <c r="B42" s="1"/>
      <c r="C42" s="1"/>
      <c r="D42" s="1"/>
      <c r="E42" s="1"/>
      <c r="F42" s="1"/>
    </row>
    <row r="43" spans="1:6" x14ac:dyDescent="0.3">
      <c r="A43" s="1"/>
      <c r="B43" s="1"/>
      <c r="C43" s="1"/>
      <c r="D43" s="1"/>
      <c r="E43" s="1"/>
      <c r="F43" s="1"/>
    </row>
    <row r="44" spans="1:6" x14ac:dyDescent="0.3">
      <c r="A44" s="1"/>
      <c r="B44" s="1"/>
      <c r="C44" s="1"/>
      <c r="D44" s="1"/>
      <c r="E44" s="1"/>
      <c r="F44" s="1"/>
    </row>
    <row r="45" spans="1:6" x14ac:dyDescent="0.3">
      <c r="A45" s="1"/>
      <c r="B45" s="1"/>
      <c r="C45" s="1"/>
      <c r="D45" s="1"/>
      <c r="E45" s="1"/>
      <c r="F45" s="1"/>
    </row>
    <row r="46" spans="1:6" x14ac:dyDescent="0.3">
      <c r="A46" s="1"/>
      <c r="B46" s="1"/>
      <c r="C46" s="1"/>
      <c r="D46" s="1"/>
      <c r="E46" s="1"/>
      <c r="F46" s="1"/>
    </row>
    <row r="47" spans="1:6" x14ac:dyDescent="0.3">
      <c r="A47" s="1"/>
      <c r="B47" s="1"/>
      <c r="C47" s="1"/>
      <c r="D47" s="1"/>
      <c r="E47" s="1"/>
      <c r="F47" s="1"/>
    </row>
    <row r="48" spans="1:6" x14ac:dyDescent="0.3">
      <c r="A48" s="1"/>
      <c r="B48" s="1"/>
      <c r="C48" s="1"/>
      <c r="D48" s="1"/>
      <c r="E48" s="1"/>
      <c r="F48" s="1"/>
    </row>
    <row r="49" spans="1:6" x14ac:dyDescent="0.3">
      <c r="A49" s="1"/>
      <c r="B49" s="1"/>
      <c r="C49" s="1"/>
      <c r="D49" s="1"/>
      <c r="E49" s="1"/>
      <c r="F49" s="1"/>
    </row>
    <row r="50" spans="1:6" x14ac:dyDescent="0.3">
      <c r="A50" s="1"/>
      <c r="B50" s="1"/>
      <c r="C50" s="1"/>
      <c r="D50" s="1"/>
      <c r="E50" s="1"/>
      <c r="F50" s="1"/>
    </row>
  </sheetData>
  <sheetProtection algorithmName="SHA-512" hashValue="v7sbR7jF7jqMQ3rusdF8rR7/WH4KdLm02ol4Amt1l53/sNn6s7GXUA4m8UZFJzmGlln1GYrv+scSSdcZKjwXow==" saltValue="4vkeQcseyyv/57A9wSI5pg==" spinCount="100000" sheet="1" objects="1" scenarios="1" sort="0" autoFilter="0"/>
  <conditionalFormatting sqref="A2:F5 A7:F20 B6:F6">
    <cfRule type="expression" dxfId="8" priority="3">
      <formula>MOD(ROW(),2)=1</formula>
    </cfRule>
  </conditionalFormatting>
  <conditionalFormatting sqref="A21:F36">
    <cfRule type="expression" dxfId="7" priority="2">
      <formula>MOD(ROW(),2)=1</formula>
    </cfRule>
  </conditionalFormatting>
  <conditionalFormatting sqref="A37:F50">
    <cfRule type="expression" dxfId="6" priority="1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G56"/>
  <sheetViews>
    <sheetView showWhiteSpace="0" view="pageLayout" topLeftCell="A4" zoomScaleNormal="100" workbookViewId="0">
      <selection activeCell="F45" sqref="A45:J46"/>
    </sheetView>
  </sheetViews>
  <sheetFormatPr defaultColWidth="9.109375" defaultRowHeight="14.4" x14ac:dyDescent="0.3"/>
  <cols>
    <col min="1" max="1" width="29.44140625" style="82" customWidth="1"/>
    <col min="2" max="2" width="5" style="82" bestFit="1" customWidth="1"/>
    <col min="3" max="4" width="9.44140625" style="43" bestFit="1" customWidth="1"/>
    <col min="5" max="5" width="5.44140625" style="43" bestFit="1" customWidth="1"/>
    <col min="6" max="6" width="8.6640625" style="43" customWidth="1"/>
    <col min="7" max="7" width="8" style="43" customWidth="1"/>
    <col min="8" max="8" width="9.44140625" style="43" bestFit="1" customWidth="1"/>
    <col min="9" max="9" width="9.44140625" style="43" customWidth="1"/>
    <col min="10" max="10" width="9.6640625" style="111" customWidth="1"/>
    <col min="11" max="11" width="1" style="88" customWidth="1"/>
    <col min="12" max="12" width="29.44140625" style="82" customWidth="1"/>
    <col min="13" max="13" width="5" style="82" bestFit="1" customWidth="1"/>
    <col min="14" max="15" width="9.44140625" style="82" bestFit="1" customWidth="1"/>
    <col min="16" max="16" width="5.44140625" style="82" bestFit="1" customWidth="1"/>
    <col min="17" max="17" width="8" style="82" customWidth="1"/>
    <col min="18" max="18" width="8.109375" style="82" customWidth="1"/>
    <col min="19" max="19" width="9.44140625" style="82" bestFit="1" customWidth="1"/>
    <col min="20" max="20" width="9.44140625" style="82" customWidth="1"/>
    <col min="21" max="21" width="9.109375" style="111" customWidth="1"/>
    <col min="22" max="22" width="1" style="88" customWidth="1"/>
    <col min="23" max="23" width="29.33203125" style="82" customWidth="1"/>
    <col min="24" max="24" width="5" style="82" bestFit="1" customWidth="1"/>
    <col min="25" max="26" width="9.44140625" style="82" bestFit="1" customWidth="1"/>
    <col min="27" max="27" width="5.44140625" style="82" bestFit="1" customWidth="1"/>
    <col min="28" max="28" width="10" style="82" customWidth="1"/>
    <col min="29" max="29" width="8.5546875" style="82" customWidth="1"/>
    <col min="30" max="30" width="8.33203125" style="82" customWidth="1"/>
    <col min="31" max="31" width="9.44140625" style="82" customWidth="1"/>
    <col min="32" max="32" width="9.33203125" style="111" customWidth="1"/>
    <col min="33" max="33" width="1" style="88" customWidth="1"/>
    <col min="34" max="16384" width="9.109375" style="82"/>
  </cols>
  <sheetData>
    <row r="1" spans="1:33" x14ac:dyDescent="0.3">
      <c r="A1" s="77"/>
      <c r="B1" s="78"/>
      <c r="C1" s="79"/>
      <c r="D1" s="79"/>
      <c r="E1" s="79"/>
      <c r="F1" s="79"/>
      <c r="G1" s="79"/>
      <c r="H1" s="79"/>
      <c r="I1" s="79"/>
      <c r="J1" s="80"/>
      <c r="K1" s="81"/>
      <c r="L1" s="77"/>
      <c r="M1" s="78"/>
      <c r="N1" s="78"/>
      <c r="O1" s="78"/>
      <c r="P1" s="78"/>
      <c r="Q1" s="78"/>
      <c r="R1" s="78"/>
      <c r="S1" s="78"/>
      <c r="T1" s="78"/>
      <c r="U1" s="80"/>
      <c r="V1" s="81"/>
      <c r="W1" s="77"/>
      <c r="X1" s="78"/>
      <c r="Y1" s="78"/>
      <c r="Z1" s="78"/>
      <c r="AA1" s="78"/>
      <c r="AB1" s="78"/>
      <c r="AC1" s="78"/>
      <c r="AD1" s="78"/>
      <c r="AE1" s="78"/>
      <c r="AF1" s="80"/>
      <c r="AG1" s="81"/>
    </row>
    <row r="2" spans="1:33" x14ac:dyDescent="0.3">
      <c r="A2" s="77"/>
      <c r="B2" s="78"/>
      <c r="C2" s="79"/>
      <c r="D2" s="79"/>
      <c r="E2" s="79"/>
      <c r="F2" s="79"/>
      <c r="G2" s="79"/>
      <c r="H2" s="79"/>
      <c r="I2" s="79"/>
      <c r="J2" s="80"/>
      <c r="K2" s="81"/>
      <c r="L2" s="77"/>
      <c r="M2" s="78"/>
      <c r="N2" s="78"/>
      <c r="O2" s="78"/>
      <c r="P2" s="78"/>
      <c r="Q2" s="78"/>
      <c r="R2" s="78"/>
      <c r="S2" s="78"/>
      <c r="T2" s="78"/>
      <c r="U2" s="80"/>
      <c r="V2" s="81"/>
      <c r="W2" s="77"/>
      <c r="X2" s="78"/>
      <c r="Y2" s="78"/>
      <c r="Z2" s="78"/>
      <c r="AA2" s="78"/>
      <c r="AB2" s="78"/>
      <c r="AC2" s="78"/>
      <c r="AD2" s="78"/>
      <c r="AE2" s="78"/>
      <c r="AF2" s="80"/>
      <c r="AG2" s="81"/>
    </row>
    <row r="3" spans="1:33" x14ac:dyDescent="0.3">
      <c r="A3" s="77"/>
      <c r="B3" s="78"/>
      <c r="C3" s="79"/>
      <c r="D3" s="79"/>
      <c r="E3" s="79"/>
      <c r="F3" s="79"/>
      <c r="G3" s="79"/>
      <c r="H3" s="79"/>
      <c r="I3" s="79"/>
      <c r="J3" s="80"/>
      <c r="K3" s="81"/>
      <c r="L3" s="77"/>
      <c r="M3" s="78"/>
      <c r="N3" s="78"/>
      <c r="O3" s="78"/>
      <c r="P3" s="78"/>
      <c r="Q3" s="78"/>
      <c r="R3" s="78"/>
      <c r="S3" s="78"/>
      <c r="T3" s="78"/>
      <c r="U3" s="80"/>
      <c r="V3" s="81"/>
      <c r="W3" s="77"/>
      <c r="X3" s="78"/>
      <c r="Y3" s="78"/>
      <c r="Z3" s="78"/>
      <c r="AA3" s="78"/>
      <c r="AB3" s="78"/>
      <c r="AC3" s="78"/>
      <c r="AD3" s="78"/>
      <c r="AE3" s="78"/>
      <c r="AF3" s="80"/>
      <c r="AG3" s="81"/>
    </row>
    <row r="4" spans="1:33" x14ac:dyDescent="0.3">
      <c r="A4" s="77"/>
      <c r="B4" s="78"/>
      <c r="C4" s="79"/>
      <c r="D4" s="79"/>
      <c r="E4" s="79"/>
      <c r="F4" s="79"/>
      <c r="G4" s="79"/>
      <c r="H4" s="79"/>
      <c r="I4" s="79"/>
      <c r="J4" s="80"/>
      <c r="K4" s="81"/>
      <c r="L4" s="77"/>
      <c r="M4" s="78"/>
      <c r="N4" s="78"/>
      <c r="O4" s="78"/>
      <c r="P4" s="78"/>
      <c r="Q4" s="78"/>
      <c r="R4" s="78"/>
      <c r="S4" s="78"/>
      <c r="T4" s="78"/>
      <c r="U4" s="80"/>
      <c r="V4" s="81"/>
      <c r="W4" s="77"/>
      <c r="X4" s="78"/>
      <c r="Y4" s="78"/>
      <c r="Z4" s="78"/>
      <c r="AA4" s="78"/>
      <c r="AB4" s="78"/>
      <c r="AC4" s="78"/>
      <c r="AD4" s="78"/>
      <c r="AE4" s="78"/>
      <c r="AF4" s="80"/>
      <c r="AG4" s="81"/>
    </row>
    <row r="5" spans="1:33" x14ac:dyDescent="0.3">
      <c r="A5" s="77"/>
      <c r="B5" s="78"/>
      <c r="C5" s="79"/>
      <c r="D5" s="79"/>
      <c r="E5" s="79"/>
      <c r="F5" s="79"/>
      <c r="G5" s="79"/>
      <c r="H5" s="79"/>
      <c r="I5" s="79"/>
      <c r="J5" s="80"/>
      <c r="K5" s="81"/>
      <c r="L5" s="77"/>
      <c r="M5" s="78"/>
      <c r="N5" s="78"/>
      <c r="O5" s="78"/>
      <c r="P5" s="78"/>
      <c r="Q5" s="78"/>
      <c r="R5" s="78"/>
      <c r="S5" s="78"/>
      <c r="T5" s="78"/>
      <c r="U5" s="80"/>
      <c r="V5" s="81"/>
      <c r="W5" s="77"/>
      <c r="X5" s="78"/>
      <c r="Y5" s="78"/>
      <c r="Z5" s="78"/>
      <c r="AA5" s="78"/>
      <c r="AB5" s="78"/>
      <c r="AC5" s="78"/>
      <c r="AD5" s="78"/>
      <c r="AE5" s="78"/>
      <c r="AF5" s="80"/>
      <c r="AG5" s="81"/>
    </row>
    <row r="6" spans="1:33" x14ac:dyDescent="0.3">
      <c r="A6" s="78"/>
      <c r="B6" s="78"/>
      <c r="C6" s="79"/>
      <c r="D6" s="79"/>
      <c r="E6" s="79"/>
      <c r="F6" s="79"/>
      <c r="G6" s="79"/>
      <c r="H6" s="79"/>
      <c r="I6" s="79"/>
      <c r="J6" s="80"/>
      <c r="K6" s="81"/>
      <c r="L6" s="78"/>
      <c r="M6" s="78"/>
      <c r="N6" s="78"/>
      <c r="O6" s="78"/>
      <c r="P6" s="78"/>
      <c r="Q6" s="78"/>
      <c r="R6" s="78"/>
      <c r="S6" s="78"/>
      <c r="T6" s="78"/>
      <c r="U6" s="80"/>
      <c r="V6" s="81"/>
      <c r="W6" s="78"/>
      <c r="X6" s="78"/>
      <c r="Y6" s="78"/>
      <c r="Z6" s="78"/>
      <c r="AA6" s="78"/>
      <c r="AB6" s="78"/>
      <c r="AC6" s="78"/>
      <c r="AD6" s="78"/>
      <c r="AE6" s="78"/>
      <c r="AF6" s="80"/>
      <c r="AG6" s="81"/>
    </row>
    <row r="7" spans="1:33" x14ac:dyDescent="0.3">
      <c r="A7" s="78"/>
      <c r="B7" s="78"/>
      <c r="C7" s="79"/>
      <c r="D7" s="79"/>
      <c r="E7" s="79"/>
      <c r="F7" s="79"/>
      <c r="G7" s="79"/>
      <c r="H7" s="79"/>
      <c r="I7" s="79"/>
      <c r="J7" s="80"/>
      <c r="K7" s="81"/>
      <c r="L7" s="78"/>
      <c r="M7" s="78"/>
      <c r="N7" s="78"/>
      <c r="O7" s="78"/>
      <c r="P7" s="78"/>
      <c r="Q7" s="78"/>
      <c r="R7" s="78"/>
      <c r="S7" s="78"/>
      <c r="T7" s="78"/>
      <c r="U7" s="80"/>
      <c r="V7" s="81"/>
      <c r="W7" s="78"/>
      <c r="X7" s="78"/>
      <c r="Y7" s="78"/>
      <c r="Z7" s="78"/>
      <c r="AA7" s="78"/>
      <c r="AB7" s="78"/>
      <c r="AC7" s="78"/>
      <c r="AD7" s="78"/>
      <c r="AE7" s="78"/>
      <c r="AF7" s="80"/>
      <c r="AG7" s="81"/>
    </row>
    <row r="8" spans="1:33" ht="18" customHeight="1" x14ac:dyDescent="0.3">
      <c r="A8" s="78"/>
      <c r="B8" s="78"/>
      <c r="C8" s="79"/>
      <c r="D8" s="79"/>
      <c r="E8" s="79"/>
      <c r="F8" s="79"/>
      <c r="G8" s="79"/>
      <c r="H8" s="79"/>
      <c r="I8" s="79"/>
      <c r="J8" s="80"/>
      <c r="K8" s="81"/>
      <c r="L8" s="78"/>
      <c r="M8" s="78"/>
      <c r="N8" s="78"/>
      <c r="O8" s="78"/>
      <c r="P8" s="78"/>
      <c r="Q8" s="78"/>
      <c r="R8" s="78"/>
      <c r="S8" s="78"/>
      <c r="T8" s="78"/>
      <c r="U8" s="80"/>
      <c r="V8" s="81"/>
      <c r="W8" s="78"/>
      <c r="X8" s="78"/>
      <c r="Y8" s="78"/>
      <c r="Z8" s="78"/>
      <c r="AA8" s="78"/>
      <c r="AB8" s="78"/>
      <c r="AC8" s="78"/>
      <c r="AD8" s="78"/>
      <c r="AE8" s="78"/>
      <c r="AF8" s="80"/>
      <c r="AG8" s="81"/>
    </row>
    <row r="9" spans="1:33" x14ac:dyDescent="0.3">
      <c r="A9" s="78"/>
      <c r="B9" s="78"/>
      <c r="C9" s="79"/>
      <c r="D9" s="79"/>
      <c r="E9" s="79"/>
      <c r="F9" s="79"/>
      <c r="G9" s="79"/>
      <c r="H9" s="79"/>
      <c r="I9" s="79"/>
      <c r="J9" s="80"/>
      <c r="K9" s="81"/>
      <c r="L9" s="78"/>
      <c r="M9" s="78"/>
      <c r="N9" s="78"/>
      <c r="O9" s="78"/>
      <c r="P9" s="78"/>
      <c r="Q9" s="78"/>
      <c r="R9" s="78"/>
      <c r="S9" s="78"/>
      <c r="T9" s="78"/>
      <c r="U9" s="80"/>
      <c r="V9" s="81"/>
      <c r="W9" s="78"/>
      <c r="X9" s="78"/>
      <c r="Y9" s="78"/>
      <c r="Z9" s="78"/>
      <c r="AA9" s="78"/>
      <c r="AB9" s="78"/>
      <c r="AC9" s="78"/>
      <c r="AD9" s="78"/>
      <c r="AE9" s="78"/>
      <c r="AF9" s="80"/>
      <c r="AG9" s="81"/>
    </row>
    <row r="10" spans="1:33" x14ac:dyDescent="0.3">
      <c r="A10" s="78"/>
      <c r="B10" s="78"/>
      <c r="C10" s="79"/>
      <c r="D10" s="79"/>
      <c r="E10" s="79"/>
      <c r="F10" s="79"/>
      <c r="G10" s="79"/>
      <c r="H10" s="79"/>
      <c r="I10" s="79"/>
      <c r="J10" s="80"/>
      <c r="K10" s="81"/>
      <c r="L10" s="78"/>
      <c r="M10" s="78"/>
      <c r="N10" s="78"/>
      <c r="O10" s="78"/>
      <c r="P10" s="78"/>
      <c r="Q10" s="78"/>
      <c r="R10" s="78"/>
      <c r="S10" s="78"/>
      <c r="T10" s="78"/>
      <c r="U10" s="80"/>
      <c r="V10" s="81"/>
      <c r="W10" s="78"/>
      <c r="X10" s="78"/>
      <c r="Y10" s="78"/>
      <c r="Z10" s="78"/>
      <c r="AA10" s="78"/>
      <c r="AB10" s="78"/>
      <c r="AC10" s="78"/>
      <c r="AD10" s="78"/>
      <c r="AE10" s="78"/>
      <c r="AF10" s="80"/>
      <c r="AG10" s="81"/>
    </row>
    <row r="11" spans="1:33" x14ac:dyDescent="0.3">
      <c r="A11" s="78"/>
      <c r="B11" s="78"/>
      <c r="C11" s="79"/>
      <c r="D11" s="79"/>
      <c r="E11" s="79"/>
      <c r="F11" s="79"/>
      <c r="G11" s="79"/>
      <c r="H11" s="79"/>
      <c r="I11" s="79"/>
      <c r="J11" s="80"/>
      <c r="K11" s="81"/>
      <c r="L11" s="78"/>
      <c r="M11" s="78"/>
      <c r="N11" s="78"/>
      <c r="O11" s="78"/>
      <c r="P11" s="78"/>
      <c r="Q11" s="78"/>
      <c r="R11" s="78"/>
      <c r="S11" s="78"/>
      <c r="T11" s="78"/>
      <c r="U11" s="80"/>
      <c r="V11" s="81"/>
      <c r="W11" s="78"/>
      <c r="X11" s="78"/>
      <c r="Y11" s="78"/>
      <c r="Z11" s="78"/>
      <c r="AA11" s="78"/>
      <c r="AB11" s="78"/>
      <c r="AC11" s="78"/>
      <c r="AD11" s="78"/>
      <c r="AE11" s="78"/>
      <c r="AF11" s="80"/>
      <c r="AG11" s="81"/>
    </row>
    <row r="12" spans="1:33" x14ac:dyDescent="0.3">
      <c r="A12" s="78"/>
      <c r="B12" s="78"/>
      <c r="C12" s="79"/>
      <c r="D12" s="79"/>
      <c r="E12" s="79"/>
      <c r="F12" s="79"/>
      <c r="G12" s="79"/>
      <c r="H12" s="79"/>
      <c r="I12" s="79"/>
      <c r="J12" s="80"/>
      <c r="K12" s="81"/>
      <c r="L12" s="78"/>
      <c r="M12" s="78"/>
      <c r="N12" s="78"/>
      <c r="O12" s="78"/>
      <c r="P12" s="78"/>
      <c r="Q12" s="78"/>
      <c r="R12" s="78"/>
      <c r="S12" s="78"/>
      <c r="T12" s="78"/>
      <c r="U12" s="80"/>
      <c r="V12" s="81"/>
      <c r="W12" s="78"/>
      <c r="X12" s="78"/>
      <c r="Y12" s="78"/>
      <c r="Z12" s="78"/>
      <c r="AA12" s="78"/>
      <c r="AB12" s="78"/>
      <c r="AC12" s="78"/>
      <c r="AD12" s="78"/>
      <c r="AE12" s="78"/>
      <c r="AF12" s="80"/>
      <c r="AG12" s="81"/>
    </row>
    <row r="13" spans="1:33" x14ac:dyDescent="0.3">
      <c r="A13" s="78"/>
      <c r="B13" s="78"/>
      <c r="C13" s="79"/>
      <c r="D13" s="79"/>
      <c r="E13" s="79"/>
      <c r="F13" s="79"/>
      <c r="G13" s="79"/>
      <c r="H13" s="79"/>
      <c r="I13" s="79"/>
      <c r="J13" s="80"/>
      <c r="K13" s="81"/>
      <c r="L13" s="78"/>
      <c r="M13" s="78"/>
      <c r="N13" s="78"/>
      <c r="O13" s="78"/>
      <c r="P13" s="78"/>
      <c r="Q13" s="78"/>
      <c r="R13" s="78"/>
      <c r="S13" s="78"/>
      <c r="T13" s="78"/>
      <c r="U13" s="80"/>
      <c r="V13" s="81"/>
      <c r="W13" s="78"/>
      <c r="X13" s="78"/>
      <c r="Y13" s="78"/>
      <c r="Z13" s="78"/>
      <c r="AA13" s="78"/>
      <c r="AB13" s="78"/>
      <c r="AC13" s="78"/>
      <c r="AD13" s="78"/>
      <c r="AE13" s="78"/>
      <c r="AF13" s="80"/>
      <c r="AG13" s="81"/>
    </row>
    <row r="14" spans="1:33" s="88" customFormat="1" ht="31.5" customHeight="1" x14ac:dyDescent="0.3">
      <c r="A14" s="83" t="s">
        <v>61</v>
      </c>
      <c r="B14" s="84" t="s">
        <v>65</v>
      </c>
      <c r="C14" s="85" t="s">
        <v>1</v>
      </c>
      <c r="D14" s="85" t="s">
        <v>66</v>
      </c>
      <c r="E14" s="86" t="s">
        <v>71</v>
      </c>
      <c r="F14" s="86" t="s">
        <v>78</v>
      </c>
      <c r="G14" s="85" t="s">
        <v>81</v>
      </c>
      <c r="H14" s="86" t="s">
        <v>69</v>
      </c>
      <c r="I14" s="86" t="s">
        <v>70</v>
      </c>
      <c r="J14" s="85" t="s">
        <v>62</v>
      </c>
      <c r="K14" s="83"/>
      <c r="L14" s="83" t="s">
        <v>61</v>
      </c>
      <c r="M14" s="84" t="s">
        <v>65</v>
      </c>
      <c r="N14" s="84" t="s">
        <v>1</v>
      </c>
      <c r="O14" s="84" t="s">
        <v>66</v>
      </c>
      <c r="P14" s="87" t="s">
        <v>71</v>
      </c>
      <c r="Q14" s="87" t="s">
        <v>78</v>
      </c>
      <c r="R14" s="84" t="s">
        <v>81</v>
      </c>
      <c r="S14" s="87" t="s">
        <v>69</v>
      </c>
      <c r="T14" s="87" t="s">
        <v>70</v>
      </c>
      <c r="U14" s="85" t="s">
        <v>62</v>
      </c>
      <c r="V14" s="83"/>
      <c r="W14" s="83" t="s">
        <v>61</v>
      </c>
      <c r="X14" s="84" t="s">
        <v>65</v>
      </c>
      <c r="Y14" s="84" t="s">
        <v>1</v>
      </c>
      <c r="Z14" s="84" t="s">
        <v>66</v>
      </c>
      <c r="AA14" s="87" t="s">
        <v>71</v>
      </c>
      <c r="AB14" s="87" t="s">
        <v>78</v>
      </c>
      <c r="AC14" s="84" t="s">
        <v>81</v>
      </c>
      <c r="AD14" s="87" t="s">
        <v>69</v>
      </c>
      <c r="AE14" s="87" t="s">
        <v>70</v>
      </c>
      <c r="AF14" s="85" t="s">
        <v>62</v>
      </c>
      <c r="AG14" s="83"/>
    </row>
    <row r="15" spans="1:33" x14ac:dyDescent="0.3">
      <c r="A15" s="148" t="s">
        <v>144</v>
      </c>
      <c r="B15" s="89">
        <v>40</v>
      </c>
      <c r="C15" s="90">
        <v>25</v>
      </c>
      <c r="D15" s="90">
        <v>25</v>
      </c>
      <c r="E15" s="90">
        <v>10</v>
      </c>
      <c r="F15" s="90">
        <v>2.5</v>
      </c>
      <c r="G15" s="90" t="s">
        <v>52</v>
      </c>
      <c r="H15" s="90">
        <v>0</v>
      </c>
      <c r="I15" s="90">
        <v>22.5</v>
      </c>
      <c r="J15" s="90">
        <v>900</v>
      </c>
      <c r="K15" s="90"/>
      <c r="L15" s="148" t="s">
        <v>97</v>
      </c>
      <c r="M15" s="89">
        <v>11</v>
      </c>
      <c r="N15" s="90">
        <v>4000</v>
      </c>
      <c r="O15" s="90">
        <v>2400</v>
      </c>
      <c r="P15" s="90">
        <v>0</v>
      </c>
      <c r="Q15" s="90">
        <v>0</v>
      </c>
      <c r="R15" s="90" t="s">
        <v>24</v>
      </c>
      <c r="S15" s="90">
        <v>366.10169491525426</v>
      </c>
      <c r="T15" s="90">
        <v>2033.898305084746</v>
      </c>
      <c r="U15" s="90">
        <v>22372.881355932204</v>
      </c>
      <c r="V15" s="90"/>
      <c r="W15" s="148" t="s">
        <v>121</v>
      </c>
      <c r="X15" s="89">
        <v>36</v>
      </c>
      <c r="Y15" s="90">
        <v>200</v>
      </c>
      <c r="Z15" s="90">
        <v>120</v>
      </c>
      <c r="AA15" s="90">
        <v>0</v>
      </c>
      <c r="AB15" s="90">
        <v>0</v>
      </c>
      <c r="AC15" s="90" t="s">
        <v>26</v>
      </c>
      <c r="AD15" s="90">
        <v>5.7142857142857144</v>
      </c>
      <c r="AE15" s="90">
        <v>114.28571428571428</v>
      </c>
      <c r="AF15" s="90">
        <v>4114.2857142857138</v>
      </c>
      <c r="AG15" s="90"/>
    </row>
    <row r="16" spans="1:33" x14ac:dyDescent="0.3">
      <c r="A16" s="148"/>
      <c r="B16" s="89"/>
      <c r="C16" s="90"/>
      <c r="D16" s="90"/>
      <c r="E16" s="90"/>
      <c r="F16" s="90"/>
      <c r="G16" s="90"/>
      <c r="H16" s="90"/>
      <c r="I16" s="90"/>
      <c r="J16" s="90"/>
      <c r="K16" s="90"/>
      <c r="L16" s="148" t="s">
        <v>98</v>
      </c>
      <c r="M16" s="89">
        <v>12</v>
      </c>
      <c r="N16" s="90">
        <v>5000</v>
      </c>
      <c r="O16" s="90">
        <v>3000</v>
      </c>
      <c r="P16" s="90">
        <v>0</v>
      </c>
      <c r="Q16" s="90">
        <v>0</v>
      </c>
      <c r="R16" s="90" t="s">
        <v>24</v>
      </c>
      <c r="S16" s="90">
        <v>457.62711864406782</v>
      </c>
      <c r="T16" s="90">
        <v>2542.3728813559323</v>
      </c>
      <c r="U16" s="90">
        <v>30508.47457627119</v>
      </c>
      <c r="V16" s="90"/>
      <c r="W16" s="148" t="s">
        <v>122</v>
      </c>
      <c r="X16" s="89">
        <v>37</v>
      </c>
      <c r="Y16" s="90">
        <v>200</v>
      </c>
      <c r="Z16" s="90">
        <v>120</v>
      </c>
      <c r="AA16" s="90">
        <v>0</v>
      </c>
      <c r="AB16" s="90">
        <v>0</v>
      </c>
      <c r="AC16" s="90" t="s">
        <v>24</v>
      </c>
      <c r="AD16" s="90">
        <v>18.305084745762709</v>
      </c>
      <c r="AE16" s="90">
        <v>101.69491525423729</v>
      </c>
      <c r="AF16" s="90">
        <v>3762.7118644067796</v>
      </c>
      <c r="AG16" s="90"/>
    </row>
    <row r="17" spans="1:33" x14ac:dyDescent="0.3">
      <c r="A17" s="148"/>
      <c r="B17" s="89"/>
      <c r="C17" s="90"/>
      <c r="D17" s="90"/>
      <c r="E17" s="90"/>
      <c r="F17" s="90"/>
      <c r="G17" s="90"/>
      <c r="H17" s="90"/>
      <c r="I17" s="90"/>
      <c r="J17" s="90"/>
      <c r="K17" s="90"/>
      <c r="L17" s="148" t="s">
        <v>99</v>
      </c>
      <c r="M17" s="89">
        <v>13</v>
      </c>
      <c r="N17" s="90">
        <v>200</v>
      </c>
      <c r="O17" s="90">
        <v>160</v>
      </c>
      <c r="P17" s="90">
        <v>0</v>
      </c>
      <c r="Q17" s="90">
        <v>0</v>
      </c>
      <c r="R17" s="90" t="s">
        <v>26</v>
      </c>
      <c r="S17" s="90">
        <v>7.6190476190476195</v>
      </c>
      <c r="T17" s="90">
        <v>152.38095238095238</v>
      </c>
      <c r="U17" s="90">
        <v>1980.952380952381</v>
      </c>
      <c r="V17" s="90"/>
      <c r="W17" s="148" t="s">
        <v>123</v>
      </c>
      <c r="X17" s="89">
        <v>38</v>
      </c>
      <c r="Y17" s="90">
        <v>200</v>
      </c>
      <c r="Z17" s="90">
        <v>120</v>
      </c>
      <c r="AA17" s="90">
        <v>0</v>
      </c>
      <c r="AB17" s="90">
        <v>0</v>
      </c>
      <c r="AC17" s="90" t="s">
        <v>24</v>
      </c>
      <c r="AD17" s="90">
        <v>18.305084745762709</v>
      </c>
      <c r="AE17" s="90">
        <v>101.69491525423729</v>
      </c>
      <c r="AF17" s="90">
        <v>3864.406779661017</v>
      </c>
      <c r="AG17" s="90"/>
    </row>
    <row r="18" spans="1:33" x14ac:dyDescent="0.3">
      <c r="A18" s="148"/>
      <c r="B18" s="89"/>
      <c r="C18" s="90"/>
      <c r="D18" s="90"/>
      <c r="E18" s="90"/>
      <c r="F18" s="90"/>
      <c r="G18" s="90"/>
      <c r="H18" s="90"/>
      <c r="I18" s="90"/>
      <c r="J18" s="90"/>
      <c r="K18" s="90"/>
      <c r="L18" s="148" t="s">
        <v>100</v>
      </c>
      <c r="M18" s="89">
        <v>14</v>
      </c>
      <c r="N18" s="90">
        <v>200</v>
      </c>
      <c r="O18" s="90">
        <v>140</v>
      </c>
      <c r="P18" s="90">
        <v>0</v>
      </c>
      <c r="Q18" s="90">
        <v>0</v>
      </c>
      <c r="R18" s="90" t="s">
        <v>23</v>
      </c>
      <c r="S18" s="90">
        <v>14.999999999999998</v>
      </c>
      <c r="T18" s="90">
        <v>124.99999999999999</v>
      </c>
      <c r="U18" s="90">
        <v>1749.9999999999998</v>
      </c>
      <c r="V18" s="90"/>
      <c r="W18" s="148" t="s">
        <v>124</v>
      </c>
      <c r="X18" s="89">
        <v>39</v>
      </c>
      <c r="Y18" s="90">
        <v>200</v>
      </c>
      <c r="Z18" s="90">
        <v>120</v>
      </c>
      <c r="AA18" s="90">
        <v>0</v>
      </c>
      <c r="AB18" s="90">
        <v>0</v>
      </c>
      <c r="AC18" s="90" t="s">
        <v>24</v>
      </c>
      <c r="AD18" s="90">
        <v>18.305084745762709</v>
      </c>
      <c r="AE18" s="90">
        <v>101.69491525423729</v>
      </c>
      <c r="AF18" s="90">
        <v>3966.101694915254</v>
      </c>
      <c r="AG18" s="90"/>
    </row>
    <row r="19" spans="1:33" x14ac:dyDescent="0.3">
      <c r="A19" s="148"/>
      <c r="B19" s="89"/>
      <c r="C19" s="90"/>
      <c r="D19" s="90"/>
      <c r="E19" s="90"/>
      <c r="F19" s="90"/>
      <c r="G19" s="90"/>
      <c r="H19" s="90"/>
      <c r="I19" s="90"/>
      <c r="J19" s="90"/>
      <c r="K19" s="90"/>
      <c r="L19" s="148" t="s">
        <v>101</v>
      </c>
      <c r="M19" s="89">
        <v>15</v>
      </c>
      <c r="N19" s="90">
        <v>200</v>
      </c>
      <c r="O19" s="90">
        <v>140</v>
      </c>
      <c r="P19" s="90">
        <v>0</v>
      </c>
      <c r="Q19" s="90">
        <v>0</v>
      </c>
      <c r="R19" s="90" t="s">
        <v>23</v>
      </c>
      <c r="S19" s="90">
        <v>14.999999999999998</v>
      </c>
      <c r="T19" s="90">
        <v>124.99999999999999</v>
      </c>
      <c r="U19" s="90">
        <v>1874.9999999999998</v>
      </c>
      <c r="V19" s="90"/>
      <c r="W19" s="148" t="s">
        <v>125</v>
      </c>
      <c r="X19" s="89">
        <v>40</v>
      </c>
      <c r="Y19" s="90">
        <v>200</v>
      </c>
      <c r="Z19" s="90">
        <v>120</v>
      </c>
      <c r="AA19" s="90">
        <v>0</v>
      </c>
      <c r="AB19" s="90">
        <v>0</v>
      </c>
      <c r="AC19" s="90" t="s">
        <v>24</v>
      </c>
      <c r="AD19" s="90">
        <v>18.305084745762709</v>
      </c>
      <c r="AE19" s="90">
        <v>101.69491525423729</v>
      </c>
      <c r="AF19" s="90">
        <v>4067.7966101694915</v>
      </c>
      <c r="AG19" s="90"/>
    </row>
    <row r="20" spans="1:33" x14ac:dyDescent="0.3">
      <c r="A20" s="148"/>
      <c r="B20" s="89"/>
      <c r="C20" s="90"/>
      <c r="D20" s="90"/>
      <c r="E20" s="90"/>
      <c r="F20" s="90"/>
      <c r="G20" s="90"/>
      <c r="H20" s="90"/>
      <c r="I20" s="90"/>
      <c r="J20" s="90"/>
      <c r="K20" s="90"/>
      <c r="L20" s="148" t="s">
        <v>102</v>
      </c>
      <c r="M20" s="89">
        <v>16</v>
      </c>
      <c r="N20" s="90">
        <v>200</v>
      </c>
      <c r="O20" s="90">
        <v>140</v>
      </c>
      <c r="P20" s="90">
        <v>0</v>
      </c>
      <c r="Q20" s="90">
        <v>0</v>
      </c>
      <c r="R20" s="90" t="s">
        <v>23</v>
      </c>
      <c r="S20" s="90">
        <v>14.999999999999998</v>
      </c>
      <c r="T20" s="90">
        <v>124.99999999999999</v>
      </c>
      <c r="U20" s="90">
        <v>1999.9999999999998</v>
      </c>
      <c r="V20" s="90"/>
      <c r="W20" s="148"/>
      <c r="X20" s="89"/>
      <c r="Y20" s="90"/>
      <c r="Z20" s="90"/>
      <c r="AA20" s="90"/>
      <c r="AB20" s="90"/>
      <c r="AC20" s="90"/>
      <c r="AD20" s="90"/>
      <c r="AE20" s="90"/>
      <c r="AF20" s="90"/>
      <c r="AG20" s="90"/>
    </row>
    <row r="21" spans="1:33" x14ac:dyDescent="0.3">
      <c r="A21" s="148"/>
      <c r="B21" s="89"/>
      <c r="C21" s="90"/>
      <c r="D21" s="90"/>
      <c r="E21" s="90"/>
      <c r="F21" s="90"/>
      <c r="G21" s="90"/>
      <c r="H21" s="90"/>
      <c r="I21" s="90"/>
      <c r="J21" s="90"/>
      <c r="K21" s="90"/>
      <c r="L21" s="148" t="s">
        <v>103</v>
      </c>
      <c r="M21" s="89">
        <v>17</v>
      </c>
      <c r="N21" s="90">
        <v>200</v>
      </c>
      <c r="O21" s="90">
        <v>140</v>
      </c>
      <c r="P21" s="90">
        <v>0</v>
      </c>
      <c r="Q21" s="90">
        <v>0</v>
      </c>
      <c r="R21" s="90" t="s">
        <v>23</v>
      </c>
      <c r="S21" s="90">
        <v>14.999999999999998</v>
      </c>
      <c r="T21" s="90">
        <v>124.99999999999999</v>
      </c>
      <c r="U21" s="90">
        <v>2124.9999999999995</v>
      </c>
      <c r="V21" s="90"/>
      <c r="W21" s="148"/>
      <c r="X21" s="89"/>
      <c r="Y21" s="90"/>
      <c r="Z21" s="90"/>
      <c r="AA21" s="90"/>
      <c r="AB21" s="90"/>
      <c r="AC21" s="90"/>
      <c r="AD21" s="90"/>
      <c r="AE21" s="90"/>
      <c r="AF21" s="90"/>
      <c r="AG21" s="90"/>
    </row>
    <row r="22" spans="1:33" x14ac:dyDescent="0.3">
      <c r="A22" s="148"/>
      <c r="B22" s="89"/>
      <c r="C22" s="90"/>
      <c r="D22" s="90"/>
      <c r="E22" s="90"/>
      <c r="F22" s="90"/>
      <c r="G22" s="90"/>
      <c r="H22" s="90"/>
      <c r="I22" s="90"/>
      <c r="J22" s="90"/>
      <c r="K22" s="90"/>
      <c r="L22" s="148" t="s">
        <v>104</v>
      </c>
      <c r="M22" s="89">
        <v>18</v>
      </c>
      <c r="N22" s="90">
        <v>200</v>
      </c>
      <c r="O22" s="90">
        <v>140</v>
      </c>
      <c r="P22" s="90">
        <v>0</v>
      </c>
      <c r="Q22" s="90">
        <v>0</v>
      </c>
      <c r="R22" s="90" t="s">
        <v>23</v>
      </c>
      <c r="S22" s="90">
        <v>14.999999999999998</v>
      </c>
      <c r="T22" s="90">
        <v>124.99999999999999</v>
      </c>
      <c r="U22" s="90">
        <v>2249.9999999999995</v>
      </c>
      <c r="V22" s="90"/>
      <c r="W22" s="148"/>
      <c r="X22" s="89"/>
      <c r="Y22" s="90"/>
      <c r="Z22" s="90"/>
      <c r="AA22" s="90"/>
      <c r="AB22" s="90"/>
      <c r="AC22" s="90"/>
      <c r="AD22" s="90"/>
      <c r="AE22" s="90"/>
      <c r="AF22" s="90"/>
      <c r="AG22" s="90"/>
    </row>
    <row r="23" spans="1:33" x14ac:dyDescent="0.3">
      <c r="A23" s="148"/>
      <c r="B23" s="89"/>
      <c r="C23" s="90"/>
      <c r="D23" s="90"/>
      <c r="E23" s="90"/>
      <c r="F23" s="90"/>
      <c r="G23" s="90"/>
      <c r="H23" s="90"/>
      <c r="I23" s="90"/>
      <c r="J23" s="90"/>
      <c r="K23" s="90"/>
      <c r="L23" s="148" t="s">
        <v>105</v>
      </c>
      <c r="M23" s="89">
        <v>19</v>
      </c>
      <c r="N23" s="90">
        <v>200</v>
      </c>
      <c r="O23" s="90">
        <v>140</v>
      </c>
      <c r="P23" s="90">
        <v>0</v>
      </c>
      <c r="Q23" s="90">
        <v>0</v>
      </c>
      <c r="R23" s="90" t="s">
        <v>23</v>
      </c>
      <c r="S23" s="90">
        <v>14.999999999999998</v>
      </c>
      <c r="T23" s="90">
        <v>124.99999999999999</v>
      </c>
      <c r="U23" s="90">
        <v>2374.9999999999995</v>
      </c>
      <c r="V23" s="90"/>
      <c r="W23" s="148"/>
      <c r="X23" s="89"/>
      <c r="Y23" s="90"/>
      <c r="Z23" s="90"/>
      <c r="AA23" s="90"/>
      <c r="AB23" s="90"/>
      <c r="AC23" s="90"/>
      <c r="AD23" s="90"/>
      <c r="AE23" s="90"/>
      <c r="AF23" s="90"/>
      <c r="AG23" s="90"/>
    </row>
    <row r="24" spans="1:33" x14ac:dyDescent="0.3">
      <c r="A24" s="148"/>
      <c r="B24" s="89"/>
      <c r="C24" s="90"/>
      <c r="D24" s="90"/>
      <c r="E24" s="90"/>
      <c r="F24" s="90"/>
      <c r="G24" s="90"/>
      <c r="H24" s="90"/>
      <c r="I24" s="90"/>
      <c r="J24" s="90"/>
      <c r="K24" s="90"/>
      <c r="L24" s="148" t="s">
        <v>106</v>
      </c>
      <c r="M24" s="89">
        <v>20</v>
      </c>
      <c r="N24" s="90">
        <v>200</v>
      </c>
      <c r="O24" s="90">
        <v>140</v>
      </c>
      <c r="P24" s="90">
        <v>0</v>
      </c>
      <c r="Q24" s="90">
        <v>0</v>
      </c>
      <c r="R24" s="90" t="s">
        <v>23</v>
      </c>
      <c r="S24" s="90">
        <v>14.999999999999998</v>
      </c>
      <c r="T24" s="90">
        <v>124.99999999999999</v>
      </c>
      <c r="U24" s="90">
        <v>2499.9999999999995</v>
      </c>
      <c r="V24" s="90"/>
      <c r="W24" s="148"/>
      <c r="X24" s="89"/>
      <c r="Y24" s="90"/>
      <c r="Z24" s="90"/>
      <c r="AA24" s="90"/>
      <c r="AB24" s="90"/>
      <c r="AC24" s="90"/>
      <c r="AD24" s="90"/>
      <c r="AE24" s="90"/>
      <c r="AF24" s="90"/>
      <c r="AG24" s="90"/>
    </row>
    <row r="25" spans="1:33" x14ac:dyDescent="0.3">
      <c r="A25" s="148"/>
      <c r="B25" s="89"/>
      <c r="C25" s="90"/>
      <c r="D25" s="90"/>
      <c r="E25" s="90"/>
      <c r="F25" s="90"/>
      <c r="G25" s="90"/>
      <c r="H25" s="90"/>
      <c r="I25" s="90"/>
      <c r="J25" s="90"/>
      <c r="K25" s="90"/>
      <c r="L25" s="148" t="s">
        <v>107</v>
      </c>
      <c r="M25" s="89">
        <v>21</v>
      </c>
      <c r="N25" s="90">
        <v>200</v>
      </c>
      <c r="O25" s="90">
        <v>140</v>
      </c>
      <c r="P25" s="90">
        <v>0</v>
      </c>
      <c r="Q25" s="90">
        <v>0</v>
      </c>
      <c r="R25" s="90" t="s">
        <v>23</v>
      </c>
      <c r="S25" s="90">
        <v>14.999999999999998</v>
      </c>
      <c r="T25" s="90">
        <v>124.99999999999999</v>
      </c>
      <c r="U25" s="90">
        <v>2624.9999999999995</v>
      </c>
      <c r="V25" s="90"/>
      <c r="W25" s="148"/>
      <c r="X25" s="89"/>
      <c r="Y25" s="90"/>
      <c r="Z25" s="90"/>
      <c r="AA25" s="90"/>
      <c r="AB25" s="90"/>
      <c r="AC25" s="90"/>
      <c r="AD25" s="90"/>
      <c r="AE25" s="90"/>
      <c r="AF25" s="90"/>
      <c r="AG25" s="90"/>
    </row>
    <row r="26" spans="1:33" x14ac:dyDescent="0.3">
      <c r="A26" s="148"/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148" t="s">
        <v>96</v>
      </c>
      <c r="M26" s="89">
        <v>22</v>
      </c>
      <c r="N26" s="90">
        <v>200</v>
      </c>
      <c r="O26" s="90">
        <v>140</v>
      </c>
      <c r="P26" s="90">
        <v>0</v>
      </c>
      <c r="Q26" s="90">
        <v>0</v>
      </c>
      <c r="R26" s="90" t="s">
        <v>29</v>
      </c>
      <c r="S26" s="90">
        <v>30.625000000000004</v>
      </c>
      <c r="T26" s="90">
        <v>109.375</v>
      </c>
      <c r="U26" s="90">
        <v>2406.25</v>
      </c>
      <c r="V26" s="90"/>
      <c r="W26" s="148"/>
      <c r="X26" s="89"/>
      <c r="Y26" s="90"/>
      <c r="Z26" s="90"/>
      <c r="AA26" s="90"/>
      <c r="AB26" s="90"/>
      <c r="AC26" s="90"/>
      <c r="AD26" s="90"/>
      <c r="AE26" s="90"/>
      <c r="AF26" s="90"/>
      <c r="AG26" s="90"/>
    </row>
    <row r="27" spans="1:33" x14ac:dyDescent="0.3">
      <c r="A27" s="148"/>
      <c r="B27" s="89"/>
      <c r="C27" s="90"/>
      <c r="D27" s="90"/>
      <c r="E27" s="90"/>
      <c r="F27" s="90"/>
      <c r="G27" s="90"/>
      <c r="H27" s="90"/>
      <c r="I27" s="90"/>
      <c r="J27" s="90"/>
      <c r="K27" s="90"/>
      <c r="L27" s="148" t="s">
        <v>108</v>
      </c>
      <c r="M27" s="89">
        <v>23</v>
      </c>
      <c r="N27" s="90">
        <v>200</v>
      </c>
      <c r="O27" s="90">
        <v>140</v>
      </c>
      <c r="P27" s="90">
        <v>0</v>
      </c>
      <c r="Q27" s="90">
        <v>0</v>
      </c>
      <c r="R27" s="90" t="s">
        <v>23</v>
      </c>
      <c r="S27" s="90">
        <v>14.999999999999998</v>
      </c>
      <c r="T27" s="90">
        <v>124.99999999999999</v>
      </c>
      <c r="U27" s="90">
        <v>2874.9999999999995</v>
      </c>
      <c r="V27" s="90"/>
      <c r="W27" s="148"/>
      <c r="X27" s="89"/>
      <c r="Y27" s="90"/>
      <c r="Z27" s="90"/>
      <c r="AA27" s="90"/>
      <c r="AB27" s="90"/>
      <c r="AC27" s="90"/>
      <c r="AD27" s="90"/>
      <c r="AE27" s="90"/>
      <c r="AF27" s="90"/>
      <c r="AG27" s="90"/>
    </row>
    <row r="28" spans="1:33" x14ac:dyDescent="0.3">
      <c r="A28" s="148"/>
      <c r="B28" s="89"/>
      <c r="C28" s="90"/>
      <c r="D28" s="90"/>
      <c r="E28" s="90"/>
      <c r="F28" s="90"/>
      <c r="G28" s="90"/>
      <c r="H28" s="90"/>
      <c r="I28" s="90"/>
      <c r="J28" s="90"/>
      <c r="K28" s="90"/>
      <c r="L28" s="148" t="s">
        <v>109</v>
      </c>
      <c r="M28" s="89">
        <v>24</v>
      </c>
      <c r="N28" s="90">
        <v>200</v>
      </c>
      <c r="O28" s="90">
        <v>140</v>
      </c>
      <c r="P28" s="90">
        <v>0</v>
      </c>
      <c r="Q28" s="90">
        <v>0</v>
      </c>
      <c r="R28" s="90" t="s">
        <v>23</v>
      </c>
      <c r="S28" s="90">
        <v>14.999999999999998</v>
      </c>
      <c r="T28" s="90">
        <v>124.99999999999999</v>
      </c>
      <c r="U28" s="90">
        <v>2999.9999999999995</v>
      </c>
      <c r="V28" s="90"/>
      <c r="W28" s="148"/>
      <c r="X28" s="89"/>
      <c r="Y28" s="90"/>
      <c r="Z28" s="90"/>
      <c r="AA28" s="90"/>
      <c r="AB28" s="90"/>
      <c r="AC28" s="90"/>
      <c r="AD28" s="90"/>
      <c r="AE28" s="90"/>
      <c r="AF28" s="90"/>
      <c r="AG28" s="90"/>
    </row>
    <row r="29" spans="1:33" x14ac:dyDescent="0.3">
      <c r="A29" s="148"/>
      <c r="B29" s="89"/>
      <c r="C29" s="90"/>
      <c r="D29" s="90"/>
      <c r="E29" s="90"/>
      <c r="F29" s="90"/>
      <c r="G29" s="90"/>
      <c r="H29" s="90"/>
      <c r="I29" s="90"/>
      <c r="J29" s="90"/>
      <c r="K29" s="90"/>
      <c r="L29" s="148" t="s">
        <v>110</v>
      </c>
      <c r="M29" s="89">
        <v>25</v>
      </c>
      <c r="N29" s="90">
        <v>200</v>
      </c>
      <c r="O29" s="90">
        <v>140</v>
      </c>
      <c r="P29" s="90">
        <v>0</v>
      </c>
      <c r="Q29" s="90">
        <v>0</v>
      </c>
      <c r="R29" s="90" t="s">
        <v>23</v>
      </c>
      <c r="S29" s="90">
        <v>14.999999999999998</v>
      </c>
      <c r="T29" s="90">
        <v>124.99999999999999</v>
      </c>
      <c r="U29" s="90">
        <v>3124.9999999999995</v>
      </c>
      <c r="V29" s="90"/>
      <c r="W29" s="148"/>
      <c r="X29" s="89"/>
      <c r="Y29" s="90"/>
      <c r="Z29" s="90"/>
      <c r="AA29" s="90"/>
      <c r="AB29" s="90"/>
      <c r="AC29" s="90"/>
      <c r="AD29" s="90"/>
      <c r="AE29" s="90"/>
      <c r="AF29" s="90"/>
      <c r="AG29" s="90"/>
    </row>
    <row r="30" spans="1:33" x14ac:dyDescent="0.3">
      <c r="A30" s="148"/>
      <c r="B30" s="89"/>
      <c r="C30" s="90"/>
      <c r="D30" s="90"/>
      <c r="E30" s="90"/>
      <c r="F30" s="90"/>
      <c r="G30" s="90"/>
      <c r="H30" s="90"/>
      <c r="I30" s="90"/>
      <c r="J30" s="90"/>
      <c r="K30" s="90"/>
      <c r="L30" s="148" t="s">
        <v>111</v>
      </c>
      <c r="M30" s="89">
        <v>26</v>
      </c>
      <c r="N30" s="90">
        <v>200</v>
      </c>
      <c r="O30" s="90">
        <v>140</v>
      </c>
      <c r="P30" s="90">
        <v>0</v>
      </c>
      <c r="Q30" s="90">
        <v>0</v>
      </c>
      <c r="R30" s="90" t="s">
        <v>23</v>
      </c>
      <c r="S30" s="90">
        <v>14.999999999999998</v>
      </c>
      <c r="T30" s="90">
        <v>124.99999999999999</v>
      </c>
      <c r="U30" s="90">
        <v>3249.9999999999995</v>
      </c>
      <c r="V30" s="90"/>
      <c r="W30" s="148"/>
      <c r="X30" s="89"/>
      <c r="Y30" s="90"/>
      <c r="Z30" s="90"/>
      <c r="AA30" s="90"/>
      <c r="AB30" s="90"/>
      <c r="AC30" s="90"/>
      <c r="AD30" s="90"/>
      <c r="AE30" s="90"/>
      <c r="AF30" s="90"/>
      <c r="AG30" s="90"/>
    </row>
    <row r="31" spans="1:33" x14ac:dyDescent="0.3">
      <c r="A31" s="148"/>
      <c r="B31" s="89"/>
      <c r="C31" s="90"/>
      <c r="D31" s="90"/>
      <c r="E31" s="90"/>
      <c r="F31" s="90"/>
      <c r="G31" s="90"/>
      <c r="H31" s="90"/>
      <c r="I31" s="90"/>
      <c r="J31" s="90"/>
      <c r="K31" s="90"/>
      <c r="L31" s="148" t="s">
        <v>112</v>
      </c>
      <c r="M31" s="89">
        <v>27</v>
      </c>
      <c r="N31" s="90">
        <v>200</v>
      </c>
      <c r="O31" s="90">
        <v>140</v>
      </c>
      <c r="P31" s="90">
        <v>0</v>
      </c>
      <c r="Q31" s="90">
        <v>0</v>
      </c>
      <c r="R31" s="90" t="s">
        <v>28</v>
      </c>
      <c r="S31" s="90">
        <v>21.35593220338983</v>
      </c>
      <c r="T31" s="90">
        <v>118.64406779661017</v>
      </c>
      <c r="U31" s="90">
        <v>3203.3898305084745</v>
      </c>
      <c r="V31" s="90"/>
      <c r="W31" s="148"/>
      <c r="X31" s="89"/>
      <c r="Y31" s="90"/>
      <c r="Z31" s="90"/>
      <c r="AA31" s="90"/>
      <c r="AB31" s="90"/>
      <c r="AC31" s="90"/>
      <c r="AD31" s="90"/>
      <c r="AE31" s="90"/>
      <c r="AF31" s="90"/>
      <c r="AG31" s="90"/>
    </row>
    <row r="32" spans="1:33" x14ac:dyDescent="0.3">
      <c r="A32" s="148"/>
      <c r="B32" s="89"/>
      <c r="C32" s="90"/>
      <c r="D32" s="90"/>
      <c r="E32" s="90"/>
      <c r="F32" s="90"/>
      <c r="G32" s="90"/>
      <c r="H32" s="90"/>
      <c r="I32" s="90"/>
      <c r="J32" s="90"/>
      <c r="K32" s="90"/>
      <c r="L32" s="148" t="s">
        <v>113</v>
      </c>
      <c r="M32" s="89">
        <v>28</v>
      </c>
      <c r="N32" s="90">
        <v>200</v>
      </c>
      <c r="O32" s="90">
        <v>120</v>
      </c>
      <c r="P32" s="90">
        <v>0</v>
      </c>
      <c r="Q32" s="90">
        <v>0</v>
      </c>
      <c r="R32" s="90" t="s">
        <v>24</v>
      </c>
      <c r="S32" s="90">
        <v>18.305084745762709</v>
      </c>
      <c r="T32" s="90">
        <v>101.69491525423729</v>
      </c>
      <c r="U32" s="90">
        <v>2847.4576271186443</v>
      </c>
      <c r="V32" s="90"/>
      <c r="W32" s="148"/>
      <c r="X32" s="89"/>
      <c r="Y32" s="90"/>
      <c r="Z32" s="90"/>
      <c r="AA32" s="90"/>
      <c r="AB32" s="90"/>
      <c r="AC32" s="90"/>
      <c r="AD32" s="90"/>
      <c r="AE32" s="90"/>
      <c r="AF32" s="90"/>
      <c r="AG32" s="90"/>
    </row>
    <row r="33" spans="1:33" x14ac:dyDescent="0.3">
      <c r="A33" s="148"/>
      <c r="B33" s="89"/>
      <c r="C33" s="90"/>
      <c r="D33" s="90"/>
      <c r="E33" s="90"/>
      <c r="F33" s="90"/>
      <c r="G33" s="90"/>
      <c r="H33" s="90"/>
      <c r="I33" s="90"/>
      <c r="J33" s="90"/>
      <c r="K33" s="90"/>
      <c r="L33" s="148" t="s">
        <v>114</v>
      </c>
      <c r="M33" s="89">
        <v>29</v>
      </c>
      <c r="N33" s="90">
        <v>200</v>
      </c>
      <c r="O33" s="90">
        <v>120</v>
      </c>
      <c r="P33" s="90">
        <v>0</v>
      </c>
      <c r="Q33" s="90">
        <v>0</v>
      </c>
      <c r="R33" s="90" t="s">
        <v>24</v>
      </c>
      <c r="S33" s="90">
        <v>18.305084745762709</v>
      </c>
      <c r="T33" s="90">
        <v>101.69491525423729</v>
      </c>
      <c r="U33" s="90">
        <v>2949.1525423728813</v>
      </c>
      <c r="V33" s="90"/>
      <c r="W33" s="148"/>
      <c r="X33" s="89"/>
      <c r="Y33" s="90"/>
      <c r="Z33" s="90"/>
      <c r="AA33" s="90"/>
      <c r="AB33" s="90"/>
      <c r="AC33" s="90"/>
      <c r="AD33" s="90"/>
      <c r="AE33" s="90"/>
      <c r="AF33" s="90"/>
      <c r="AG33" s="90"/>
    </row>
    <row r="34" spans="1:33" x14ac:dyDescent="0.3">
      <c r="A34" s="148"/>
      <c r="B34" s="89"/>
      <c r="C34" s="90"/>
      <c r="D34" s="90"/>
      <c r="E34" s="90"/>
      <c r="F34" s="90"/>
      <c r="G34" s="90"/>
      <c r="H34" s="90"/>
      <c r="I34" s="90"/>
      <c r="J34" s="90"/>
      <c r="K34" s="90"/>
      <c r="L34" s="148" t="s">
        <v>115</v>
      </c>
      <c r="M34" s="89">
        <v>30</v>
      </c>
      <c r="N34" s="90">
        <v>200</v>
      </c>
      <c r="O34" s="90">
        <v>120</v>
      </c>
      <c r="P34" s="90">
        <v>0</v>
      </c>
      <c r="Q34" s="90">
        <v>0</v>
      </c>
      <c r="R34" s="90" t="s">
        <v>24</v>
      </c>
      <c r="S34" s="90">
        <v>18.305084745762709</v>
      </c>
      <c r="T34" s="90">
        <v>101.69491525423729</v>
      </c>
      <c r="U34" s="90">
        <v>3050.8474576271187</v>
      </c>
      <c r="V34" s="90"/>
      <c r="W34" s="148"/>
      <c r="X34" s="89"/>
      <c r="Y34" s="90"/>
      <c r="Z34" s="90"/>
      <c r="AA34" s="90"/>
      <c r="AB34" s="90"/>
      <c r="AC34" s="90"/>
      <c r="AD34" s="90"/>
      <c r="AE34" s="90"/>
      <c r="AF34" s="90"/>
      <c r="AG34" s="90"/>
    </row>
    <row r="35" spans="1:33" x14ac:dyDescent="0.3">
      <c r="A35" s="148"/>
      <c r="B35" s="89"/>
      <c r="C35" s="90"/>
      <c r="D35" s="90"/>
      <c r="E35" s="90"/>
      <c r="F35" s="90"/>
      <c r="G35" s="90"/>
      <c r="H35" s="90"/>
      <c r="I35" s="90"/>
      <c r="J35" s="90"/>
      <c r="K35" s="90"/>
      <c r="L35" s="148" t="s">
        <v>116</v>
      </c>
      <c r="M35" s="89">
        <v>31</v>
      </c>
      <c r="N35" s="90">
        <v>200</v>
      </c>
      <c r="O35" s="90">
        <v>120</v>
      </c>
      <c r="P35" s="90">
        <v>0</v>
      </c>
      <c r="Q35" s="90">
        <v>0</v>
      </c>
      <c r="R35" s="90" t="s">
        <v>23</v>
      </c>
      <c r="S35" s="90">
        <v>12.857142857142856</v>
      </c>
      <c r="T35" s="90">
        <v>107.14285714285714</v>
      </c>
      <c r="U35" s="90">
        <v>3321.4285714285711</v>
      </c>
      <c r="V35" s="90"/>
      <c r="W35" s="148"/>
      <c r="X35" s="89"/>
      <c r="Y35" s="90"/>
      <c r="Z35" s="90"/>
      <c r="AA35" s="90"/>
      <c r="AB35" s="90"/>
      <c r="AC35" s="90"/>
      <c r="AD35" s="90"/>
      <c r="AE35" s="90"/>
      <c r="AF35" s="90"/>
      <c r="AG35" s="90"/>
    </row>
    <row r="36" spans="1:33" x14ac:dyDescent="0.3">
      <c r="A36" s="148"/>
      <c r="B36" s="89"/>
      <c r="C36" s="90"/>
      <c r="D36" s="90"/>
      <c r="E36" s="90"/>
      <c r="F36" s="90"/>
      <c r="G36" s="90"/>
      <c r="H36" s="90"/>
      <c r="I36" s="90"/>
      <c r="J36" s="90"/>
      <c r="K36" s="90"/>
      <c r="L36" s="148" t="s">
        <v>117</v>
      </c>
      <c r="M36" s="89">
        <v>32</v>
      </c>
      <c r="N36" s="90">
        <v>200</v>
      </c>
      <c r="O36" s="90">
        <v>120</v>
      </c>
      <c r="P36" s="90">
        <v>0</v>
      </c>
      <c r="Q36" s="90">
        <v>0</v>
      </c>
      <c r="R36" s="90" t="s">
        <v>24</v>
      </c>
      <c r="S36" s="90">
        <v>18.305084745762709</v>
      </c>
      <c r="T36" s="90">
        <v>101.69491525423729</v>
      </c>
      <c r="U36" s="90">
        <v>3254.2372881355932</v>
      </c>
      <c r="V36" s="90"/>
      <c r="W36" s="148"/>
      <c r="X36" s="89"/>
      <c r="Y36" s="90"/>
      <c r="Z36" s="90"/>
      <c r="AA36" s="90"/>
      <c r="AB36" s="90"/>
      <c r="AC36" s="90"/>
      <c r="AD36" s="90"/>
      <c r="AE36" s="90"/>
      <c r="AF36" s="90"/>
      <c r="AG36" s="90"/>
    </row>
    <row r="37" spans="1:33" x14ac:dyDescent="0.3">
      <c r="A37" s="148"/>
      <c r="B37" s="89"/>
      <c r="C37" s="90"/>
      <c r="D37" s="90"/>
      <c r="E37" s="90"/>
      <c r="F37" s="90"/>
      <c r="G37" s="90"/>
      <c r="H37" s="90"/>
      <c r="I37" s="90"/>
      <c r="J37" s="90"/>
      <c r="K37" s="90"/>
      <c r="L37" s="148" t="s">
        <v>118</v>
      </c>
      <c r="M37" s="89">
        <v>33</v>
      </c>
      <c r="N37" s="90">
        <v>200</v>
      </c>
      <c r="O37" s="90">
        <v>120</v>
      </c>
      <c r="P37" s="90">
        <v>0</v>
      </c>
      <c r="Q37" s="90">
        <v>0</v>
      </c>
      <c r="R37" s="90" t="s">
        <v>22</v>
      </c>
      <c r="S37" s="90">
        <v>5.7142857142857144</v>
      </c>
      <c r="T37" s="90">
        <v>114.28571428571428</v>
      </c>
      <c r="U37" s="90">
        <v>3771.4285714285711</v>
      </c>
      <c r="V37" s="90"/>
      <c r="W37" s="148"/>
      <c r="X37" s="89"/>
      <c r="Y37" s="90"/>
      <c r="Z37" s="90"/>
      <c r="AA37" s="90"/>
      <c r="AB37" s="90"/>
      <c r="AC37" s="90"/>
      <c r="AD37" s="90"/>
      <c r="AE37" s="90"/>
      <c r="AF37" s="90"/>
      <c r="AG37" s="90"/>
    </row>
    <row r="38" spans="1:33" x14ac:dyDescent="0.3">
      <c r="A38" s="148"/>
      <c r="B38" s="89"/>
      <c r="C38" s="90"/>
      <c r="D38" s="90"/>
      <c r="E38" s="90"/>
      <c r="F38" s="90"/>
      <c r="G38" s="90"/>
      <c r="H38" s="90"/>
      <c r="I38" s="90"/>
      <c r="J38" s="90"/>
      <c r="K38" s="90"/>
      <c r="L38" s="148" t="s">
        <v>119</v>
      </c>
      <c r="M38" s="89">
        <v>34</v>
      </c>
      <c r="N38" s="90">
        <v>200</v>
      </c>
      <c r="O38" s="90">
        <v>120</v>
      </c>
      <c r="P38" s="90">
        <v>0</v>
      </c>
      <c r="Q38" s="90">
        <v>0</v>
      </c>
      <c r="R38" s="90" t="s">
        <v>24</v>
      </c>
      <c r="S38" s="90">
        <v>18.305084745762709</v>
      </c>
      <c r="T38" s="90">
        <v>101.69491525423729</v>
      </c>
      <c r="U38" s="90">
        <v>3457.6271186440677</v>
      </c>
      <c r="V38" s="90"/>
      <c r="W38" s="148"/>
      <c r="X38" s="89"/>
      <c r="Y38" s="90"/>
      <c r="Z38" s="90"/>
      <c r="AA38" s="90"/>
      <c r="AB38" s="90"/>
      <c r="AC38" s="90"/>
      <c r="AD38" s="90"/>
      <c r="AE38" s="90"/>
      <c r="AF38" s="90"/>
      <c r="AG38" s="90"/>
    </row>
    <row r="39" spans="1:33" x14ac:dyDescent="0.3">
      <c r="A39" s="148"/>
      <c r="B39" s="89"/>
      <c r="C39" s="90"/>
      <c r="D39" s="90"/>
      <c r="E39" s="90"/>
      <c r="F39" s="90"/>
      <c r="G39" s="90"/>
      <c r="H39" s="90"/>
      <c r="I39" s="90"/>
      <c r="J39" s="90"/>
      <c r="K39" s="90"/>
      <c r="L39" s="148" t="s">
        <v>120</v>
      </c>
      <c r="M39" s="89">
        <v>35</v>
      </c>
      <c r="N39" s="90">
        <v>200</v>
      </c>
      <c r="O39" s="90">
        <v>120</v>
      </c>
      <c r="P39" s="90">
        <v>0</v>
      </c>
      <c r="Q39" s="90">
        <v>0</v>
      </c>
      <c r="R39" s="90" t="s">
        <v>24</v>
      </c>
      <c r="S39" s="90">
        <v>18.305084745762709</v>
      </c>
      <c r="T39" s="90">
        <v>101.69491525423729</v>
      </c>
      <c r="U39" s="90">
        <v>3559.3220338983051</v>
      </c>
      <c r="V39" s="90"/>
      <c r="W39" s="148"/>
      <c r="X39" s="89"/>
      <c r="Y39" s="90"/>
      <c r="Z39" s="90"/>
      <c r="AA39" s="90"/>
      <c r="AB39" s="93"/>
      <c r="AC39" s="93"/>
      <c r="AD39" s="93"/>
      <c r="AE39" s="93"/>
      <c r="AF39" s="93"/>
      <c r="AG39" s="90"/>
    </row>
    <row r="40" spans="1:33" x14ac:dyDescent="0.3">
      <c r="A40" s="148"/>
      <c r="B40" s="89"/>
      <c r="C40" s="90"/>
      <c r="D40" s="90"/>
      <c r="E40" s="90"/>
      <c r="F40" s="90"/>
      <c r="G40" s="90"/>
      <c r="H40" s="90"/>
      <c r="I40" s="90"/>
      <c r="J40" s="90"/>
      <c r="K40" s="90"/>
      <c r="L40" s="148"/>
      <c r="M40" s="89"/>
      <c r="N40" s="90"/>
      <c r="O40" s="90"/>
      <c r="P40" s="90"/>
      <c r="Q40" s="90"/>
      <c r="R40" s="90"/>
      <c r="S40" s="90"/>
      <c r="T40" s="90"/>
      <c r="U40" s="90"/>
      <c r="V40" s="90"/>
      <c r="W40" s="148"/>
      <c r="X40" s="89"/>
      <c r="Y40" s="90"/>
      <c r="Z40" s="129"/>
      <c r="AA40" s="132"/>
      <c r="AB40" s="133"/>
      <c r="AC40" s="140"/>
      <c r="AD40" s="133"/>
      <c r="AE40" s="133"/>
      <c r="AF40" s="140"/>
      <c r="AG40" s="90"/>
    </row>
    <row r="41" spans="1:33" x14ac:dyDescent="0.3">
      <c r="A41" s="148"/>
      <c r="B41" s="89"/>
      <c r="C41" s="90"/>
      <c r="D41" s="128"/>
      <c r="E41" s="128"/>
      <c r="F41" s="160"/>
      <c r="G41" s="160"/>
      <c r="H41" s="161"/>
      <c r="I41" s="160"/>
      <c r="J41" s="160"/>
      <c r="K41" s="90"/>
      <c r="L41" s="148"/>
      <c r="M41" s="89"/>
      <c r="N41" s="90"/>
      <c r="O41" s="90"/>
      <c r="P41" s="90"/>
      <c r="Q41" s="90"/>
      <c r="R41" s="90"/>
      <c r="S41" s="90"/>
      <c r="T41" s="90"/>
      <c r="U41" s="90"/>
      <c r="V41" s="90"/>
      <c r="W41" s="148"/>
      <c r="X41" s="89"/>
      <c r="Y41" s="90"/>
      <c r="Z41" s="129"/>
      <c r="AA41" s="132"/>
      <c r="AB41" s="134" t="s">
        <v>94</v>
      </c>
      <c r="AC41" s="138">
        <v>94.285714285714292</v>
      </c>
      <c r="AD41" s="135"/>
      <c r="AE41" s="136" t="s">
        <v>95</v>
      </c>
      <c r="AF41" s="139">
        <v>94.285714285714292</v>
      </c>
      <c r="AG41" s="90"/>
    </row>
    <row r="42" spans="1:33" x14ac:dyDescent="0.3">
      <c r="A42" s="148"/>
      <c r="B42" s="89"/>
      <c r="C42" s="90"/>
      <c r="D42" s="128"/>
      <c r="E42" s="128"/>
      <c r="F42" s="160"/>
      <c r="G42" s="160"/>
      <c r="H42" s="161"/>
      <c r="I42" s="160"/>
      <c r="J42" s="160"/>
      <c r="K42" s="90"/>
      <c r="L42" s="148"/>
      <c r="M42" s="89"/>
      <c r="N42" s="90"/>
      <c r="O42" s="90"/>
      <c r="P42" s="90"/>
      <c r="Q42" s="90"/>
      <c r="R42" s="90"/>
      <c r="S42" s="90"/>
      <c r="T42" s="90"/>
      <c r="U42" s="90"/>
      <c r="V42" s="90"/>
      <c r="W42" s="148"/>
      <c r="X42" s="89"/>
      <c r="Y42" s="90"/>
      <c r="Z42" s="129"/>
      <c r="AA42" s="132"/>
      <c r="AB42" s="134" t="s">
        <v>127</v>
      </c>
      <c r="AC42" s="138">
        <v>1984.285714285714</v>
      </c>
      <c r="AD42" s="135"/>
      <c r="AE42" s="136" t="s">
        <v>134</v>
      </c>
      <c r="AF42" s="139">
        <v>1984.285714285714</v>
      </c>
      <c r="AG42" s="90"/>
    </row>
    <row r="43" spans="1:33" x14ac:dyDescent="0.3">
      <c r="A43" s="148"/>
      <c r="B43" s="89"/>
      <c r="C43" s="90"/>
      <c r="D43" s="128"/>
      <c r="E43" s="128"/>
      <c r="F43" s="160"/>
      <c r="G43" s="160"/>
      <c r="H43" s="161"/>
      <c r="I43" s="160"/>
      <c r="J43" s="160"/>
      <c r="K43" s="90"/>
      <c r="L43" s="148"/>
      <c r="M43" s="89"/>
      <c r="N43" s="90"/>
      <c r="O43" s="90"/>
      <c r="P43" s="90"/>
      <c r="Q43" s="90"/>
      <c r="R43" s="90"/>
      <c r="S43" s="90"/>
      <c r="T43" s="90"/>
      <c r="U43" s="90"/>
      <c r="V43" s="90"/>
      <c r="W43" s="148"/>
      <c r="X43" s="89"/>
      <c r="Y43" s="90"/>
      <c r="Z43" s="129"/>
      <c r="AA43" s="132"/>
      <c r="AB43" s="134" t="s">
        <v>128</v>
      </c>
      <c r="AC43" s="138">
        <v>7889.4915254237294</v>
      </c>
      <c r="AD43" s="135"/>
      <c r="AE43" s="136" t="s">
        <v>135</v>
      </c>
      <c r="AF43" s="139">
        <v>7889.4915254237294</v>
      </c>
      <c r="AG43" s="90"/>
    </row>
    <row r="44" spans="1:33" x14ac:dyDescent="0.3">
      <c r="A44" s="148"/>
      <c r="B44" s="89"/>
      <c r="C44" s="90"/>
      <c r="D44" s="128"/>
      <c r="E44" s="128"/>
      <c r="F44" s="160"/>
      <c r="G44" s="160"/>
      <c r="H44" s="160"/>
      <c r="I44" s="160"/>
      <c r="J44" s="160"/>
      <c r="K44" s="90"/>
      <c r="L44" s="148"/>
      <c r="M44" s="89"/>
      <c r="N44" s="90"/>
      <c r="O44" s="90"/>
      <c r="P44" s="90"/>
      <c r="Q44" s="90"/>
      <c r="R44" s="90"/>
      <c r="S44" s="90"/>
      <c r="T44" s="90"/>
      <c r="U44" s="90"/>
      <c r="V44" s="90"/>
      <c r="W44" s="148"/>
      <c r="X44" s="89"/>
      <c r="Y44" s="90"/>
      <c r="Z44" s="130"/>
      <c r="AA44" s="132"/>
      <c r="AB44" s="137"/>
      <c r="AC44" s="138"/>
      <c r="AD44" s="135"/>
      <c r="AE44" s="136" t="s">
        <v>132</v>
      </c>
      <c r="AF44" s="139">
        <v>576.61016949152543</v>
      </c>
      <c r="AG44" s="90"/>
    </row>
    <row r="45" spans="1:33" x14ac:dyDescent="0.3">
      <c r="A45" s="185" t="s">
        <v>80</v>
      </c>
      <c r="B45" s="186"/>
      <c r="C45" s="187"/>
      <c r="D45" s="188"/>
      <c r="E45" s="188"/>
      <c r="F45" s="189"/>
      <c r="G45" s="189"/>
      <c r="H45" s="189"/>
      <c r="I45" s="189"/>
      <c r="J45" s="190"/>
      <c r="K45" s="93"/>
      <c r="L45" s="148"/>
      <c r="M45" s="89"/>
      <c r="N45" s="90"/>
      <c r="O45" s="90"/>
      <c r="P45" s="90"/>
      <c r="Q45" s="90"/>
      <c r="R45" s="90"/>
      <c r="S45" s="90"/>
      <c r="T45" s="90"/>
      <c r="U45" s="90"/>
      <c r="V45" s="90"/>
      <c r="W45" s="91" t="s">
        <v>80</v>
      </c>
      <c r="X45" s="78"/>
      <c r="Y45" s="78"/>
      <c r="Z45" s="78"/>
      <c r="AA45" s="132"/>
      <c r="AB45" s="137"/>
      <c r="AC45" s="138"/>
      <c r="AD45" s="135"/>
      <c r="AE45" s="136" t="s">
        <v>133</v>
      </c>
      <c r="AF45" s="139">
        <v>673.75000000000011</v>
      </c>
      <c r="AG45" s="93"/>
    </row>
    <row r="46" spans="1:33" x14ac:dyDescent="0.3">
      <c r="A46" s="191" t="s">
        <v>154</v>
      </c>
      <c r="B46" s="192"/>
      <c r="C46" s="192"/>
      <c r="D46" s="192"/>
      <c r="E46" s="192"/>
      <c r="F46" s="192"/>
      <c r="G46" s="193"/>
      <c r="H46" s="193"/>
      <c r="I46" s="193"/>
      <c r="J46" s="194"/>
      <c r="K46" s="93"/>
      <c r="L46" s="148"/>
      <c r="M46" s="89"/>
      <c r="N46" s="90"/>
      <c r="O46" s="90"/>
      <c r="P46" s="90"/>
      <c r="Q46" s="90"/>
      <c r="R46" s="90"/>
      <c r="S46" s="90"/>
      <c r="T46" s="90"/>
      <c r="U46" s="90"/>
      <c r="V46" s="90"/>
      <c r="W46" s="182" t="s">
        <v>126</v>
      </c>
      <c r="X46" s="182"/>
      <c r="Y46" s="182"/>
      <c r="Z46" s="182"/>
      <c r="AA46" s="182"/>
      <c r="AB46" s="182"/>
      <c r="AC46"/>
      <c r="AD46"/>
      <c r="AE46"/>
      <c r="AF46"/>
      <c r="AG46" s="93"/>
    </row>
    <row r="47" spans="1:33" x14ac:dyDescent="0.3">
      <c r="A47" s="94"/>
      <c r="B47" s="94"/>
      <c r="C47" s="95"/>
      <c r="D47" s="95"/>
      <c r="E47" s="95"/>
      <c r="F47" s="95"/>
      <c r="G47" s="177" t="s">
        <v>72</v>
      </c>
      <c r="H47" s="177"/>
      <c r="I47" s="178"/>
      <c r="J47" s="162">
        <v>900</v>
      </c>
      <c r="K47" s="93"/>
      <c r="L47" s="148"/>
      <c r="M47" s="89"/>
      <c r="N47" s="90"/>
      <c r="O47" s="90"/>
      <c r="P47" s="90"/>
      <c r="Q47" s="90"/>
      <c r="R47" s="90"/>
      <c r="S47" s="90"/>
      <c r="T47" s="90"/>
      <c r="U47" s="90"/>
      <c r="V47" s="90"/>
      <c r="W47" s="94"/>
      <c r="X47" s="94"/>
      <c r="Y47" s="94"/>
      <c r="Z47" s="94"/>
      <c r="AA47" s="94"/>
      <c r="AB47" s="94"/>
      <c r="AC47" s="177" t="s">
        <v>72</v>
      </c>
      <c r="AD47" s="177"/>
      <c r="AE47" s="178"/>
      <c r="AF47" s="92">
        <v>136208.75201775625</v>
      </c>
      <c r="AG47" s="93"/>
    </row>
    <row r="48" spans="1:33" x14ac:dyDescent="0.3">
      <c r="A48" s="96" t="s">
        <v>83</v>
      </c>
      <c r="B48" s="97"/>
      <c r="C48" s="98"/>
      <c r="D48" s="98"/>
      <c r="E48" s="99"/>
      <c r="F48" s="79"/>
      <c r="G48" s="177"/>
      <c r="H48" s="177"/>
      <c r="I48" s="178"/>
      <c r="J48" s="92"/>
      <c r="K48" s="93"/>
      <c r="L48" s="148"/>
      <c r="M48" s="89"/>
      <c r="N48" s="90"/>
      <c r="O48" s="90"/>
      <c r="P48" s="90"/>
      <c r="Q48" s="90"/>
      <c r="R48" s="90"/>
      <c r="S48" s="90"/>
      <c r="T48" s="90"/>
      <c r="U48" s="90"/>
      <c r="V48" s="90"/>
      <c r="W48" s="96" t="s">
        <v>83</v>
      </c>
      <c r="X48" s="97"/>
      <c r="Y48" s="100"/>
      <c r="Z48" s="100"/>
      <c r="AA48" s="101"/>
      <c r="AB48" s="78"/>
      <c r="AC48" s="177" t="s">
        <v>145</v>
      </c>
      <c r="AD48" s="177"/>
      <c r="AE48" s="178"/>
      <c r="AF48" s="92"/>
      <c r="AG48" s="93"/>
    </row>
    <row r="49" spans="1:33" x14ac:dyDescent="0.3">
      <c r="A49" s="102"/>
      <c r="B49" s="103"/>
      <c r="C49" s="95"/>
      <c r="D49" s="95"/>
      <c r="E49" s="104"/>
      <c r="F49" s="79"/>
      <c r="G49" s="177" t="s">
        <v>92</v>
      </c>
      <c r="H49" s="177"/>
      <c r="I49" s="178"/>
      <c r="J49" s="92">
        <v>0</v>
      </c>
      <c r="K49" s="93"/>
      <c r="L49" s="148"/>
      <c r="M49" s="89"/>
      <c r="N49" s="90"/>
      <c r="O49" s="90"/>
      <c r="P49" s="90"/>
      <c r="Q49" s="90"/>
      <c r="R49" s="90"/>
      <c r="S49" s="90"/>
      <c r="T49" s="90"/>
      <c r="U49" s="90"/>
      <c r="V49" s="90"/>
      <c r="W49" s="102"/>
      <c r="X49" s="103"/>
      <c r="Y49" s="94"/>
      <c r="Z49" s="94"/>
      <c r="AA49" s="105"/>
      <c r="AB49" s="78"/>
      <c r="AC49" s="177" t="s">
        <v>92</v>
      </c>
      <c r="AD49" s="177"/>
      <c r="AE49" s="178"/>
      <c r="AF49" s="92">
        <v>21491.247982243738</v>
      </c>
      <c r="AG49" s="93"/>
    </row>
    <row r="50" spans="1:33" x14ac:dyDescent="0.3">
      <c r="A50" s="102"/>
      <c r="B50" s="103"/>
      <c r="C50" s="95"/>
      <c r="D50" s="95"/>
      <c r="E50" s="104"/>
      <c r="F50" s="79"/>
      <c r="G50" s="177" t="s">
        <v>153</v>
      </c>
      <c r="H50" s="177"/>
      <c r="I50" s="178"/>
      <c r="J50" s="92">
        <v>28</v>
      </c>
      <c r="K50" s="93"/>
      <c r="L50" s="148"/>
      <c r="M50" s="89"/>
      <c r="N50" s="90"/>
      <c r="O50" s="90"/>
      <c r="P50" s="90"/>
      <c r="Q50" s="90"/>
      <c r="R50" s="90"/>
      <c r="S50" s="90"/>
      <c r="T50" s="90"/>
      <c r="U50" s="90"/>
      <c r="V50" s="90"/>
      <c r="W50" s="102"/>
      <c r="X50" s="103"/>
      <c r="Y50" s="94"/>
      <c r="Z50" s="94"/>
      <c r="AA50" s="105"/>
      <c r="AB50" s="78"/>
      <c r="AC50" s="177" t="s">
        <v>152</v>
      </c>
      <c r="AD50" s="177"/>
      <c r="AE50" s="178"/>
      <c r="AF50" s="92"/>
      <c r="AG50" s="93"/>
    </row>
    <row r="51" spans="1:33" ht="20.25" customHeight="1" x14ac:dyDescent="0.3">
      <c r="A51" s="102"/>
      <c r="B51" s="103"/>
      <c r="C51" s="95"/>
      <c r="D51" s="95"/>
      <c r="E51" s="104"/>
      <c r="F51" s="79"/>
      <c r="G51" s="177" t="s">
        <v>137</v>
      </c>
      <c r="H51" s="177"/>
      <c r="I51" s="178"/>
      <c r="J51" s="106">
        <v>928</v>
      </c>
      <c r="K51" s="107"/>
      <c r="L51" s="148"/>
      <c r="M51" s="89"/>
      <c r="N51" s="90"/>
      <c r="O51" s="90"/>
      <c r="P51" s="90"/>
      <c r="Q51" s="90"/>
      <c r="R51" s="90"/>
      <c r="S51" s="90"/>
      <c r="T51" s="90"/>
      <c r="U51" s="90"/>
      <c r="V51" s="90"/>
      <c r="W51" s="102"/>
      <c r="X51" s="103"/>
      <c r="Y51" s="94"/>
      <c r="Z51" s="94"/>
      <c r="AA51" s="105"/>
      <c r="AB51" s="78"/>
      <c r="AC51" s="177" t="s">
        <v>137</v>
      </c>
      <c r="AD51" s="177"/>
      <c r="AE51" s="178"/>
      <c r="AF51" s="106">
        <v>157700</v>
      </c>
      <c r="AG51" s="107"/>
    </row>
    <row r="52" spans="1:33" x14ac:dyDescent="0.3">
      <c r="A52" s="108"/>
      <c r="B52" s="179" t="s">
        <v>79</v>
      </c>
      <c r="C52" s="180"/>
      <c r="D52" s="180"/>
      <c r="E52" s="181"/>
      <c r="F52" s="79"/>
      <c r="G52" s="79"/>
      <c r="J52" s="109"/>
      <c r="K52" s="110"/>
      <c r="L52" s="148"/>
      <c r="M52" s="89"/>
      <c r="N52" s="90"/>
      <c r="O52" s="90"/>
      <c r="P52" s="90"/>
      <c r="Q52" s="90"/>
      <c r="R52" s="90"/>
      <c r="S52" s="90"/>
      <c r="T52" s="90"/>
      <c r="U52" s="90"/>
      <c r="V52" s="90"/>
      <c r="W52" s="108"/>
      <c r="X52" s="179" t="s">
        <v>79</v>
      </c>
      <c r="Y52" s="180"/>
      <c r="Z52" s="180"/>
      <c r="AA52" s="181"/>
      <c r="AB52" s="78"/>
      <c r="AC52" s="78"/>
      <c r="AF52" s="109"/>
      <c r="AG52" s="110"/>
    </row>
    <row r="53" spans="1:33" x14ac:dyDescent="0.3">
      <c r="A53" s="78"/>
      <c r="B53" s="78"/>
      <c r="C53" s="79"/>
      <c r="D53" s="79"/>
      <c r="E53" s="79"/>
      <c r="F53" s="79"/>
      <c r="G53" s="79"/>
      <c r="L53" s="78"/>
      <c r="M53" s="78"/>
      <c r="N53" s="78"/>
      <c r="O53" s="78"/>
      <c r="P53" s="78"/>
      <c r="Q53" s="78"/>
      <c r="R53" s="78"/>
      <c r="W53" s="78"/>
      <c r="X53" s="78"/>
      <c r="Y53" s="78"/>
      <c r="Z53" s="78"/>
      <c r="AA53" s="78"/>
      <c r="AB53" s="78"/>
      <c r="AC53" s="78"/>
    </row>
    <row r="54" spans="1:33" x14ac:dyDescent="0.3">
      <c r="A54" s="78"/>
      <c r="B54" s="78"/>
      <c r="C54" s="79"/>
      <c r="D54" s="79"/>
      <c r="E54" s="79"/>
      <c r="F54" s="79"/>
      <c r="G54" s="79"/>
      <c r="L54" s="78"/>
      <c r="M54" s="78"/>
      <c r="N54" s="78"/>
      <c r="O54" s="78"/>
      <c r="P54" s="78"/>
      <c r="Q54" s="78"/>
      <c r="R54" s="78"/>
      <c r="W54" s="78"/>
      <c r="X54" s="78"/>
      <c r="Y54" s="78"/>
      <c r="Z54" s="78"/>
      <c r="AA54" s="78"/>
      <c r="AB54" s="78"/>
      <c r="AC54" s="78"/>
    </row>
    <row r="55" spans="1:33" x14ac:dyDescent="0.3">
      <c r="A55" s="78"/>
      <c r="B55" s="78"/>
      <c r="C55" s="79"/>
      <c r="D55" s="79"/>
      <c r="E55" s="79"/>
      <c r="F55" s="79"/>
      <c r="G55" s="79"/>
      <c r="L55" s="78"/>
      <c r="M55" s="78"/>
      <c r="N55" s="78"/>
      <c r="O55" s="78"/>
      <c r="P55" s="78"/>
      <c r="Q55" s="78"/>
      <c r="R55" s="78"/>
      <c r="W55" s="78"/>
      <c r="X55" s="78"/>
      <c r="Y55" s="78"/>
      <c r="Z55" s="78"/>
      <c r="AA55" s="78"/>
      <c r="AB55" s="78"/>
      <c r="AC55" s="78"/>
    </row>
    <row r="56" spans="1:33" x14ac:dyDescent="0.3">
      <c r="A56" s="78"/>
      <c r="B56" s="78"/>
      <c r="C56" s="79"/>
      <c r="D56" s="79"/>
      <c r="E56" s="79"/>
      <c r="F56" s="79"/>
      <c r="G56" s="79"/>
      <c r="H56" s="79"/>
      <c r="I56" s="79"/>
      <c r="J56" s="80"/>
      <c r="K56" s="81"/>
      <c r="L56" s="78"/>
      <c r="M56" s="78"/>
      <c r="N56" s="78"/>
      <c r="O56" s="78"/>
      <c r="P56" s="78"/>
      <c r="Q56" s="78"/>
      <c r="R56" s="78"/>
      <c r="S56" s="78"/>
      <c r="T56" s="78"/>
      <c r="U56" s="80"/>
      <c r="V56" s="81"/>
      <c r="W56" s="78"/>
      <c r="X56" s="78"/>
      <c r="Y56" s="78"/>
      <c r="Z56" s="78"/>
      <c r="AA56" s="78"/>
      <c r="AB56" s="78"/>
      <c r="AC56" s="78"/>
      <c r="AD56" s="78"/>
      <c r="AE56" s="78"/>
      <c r="AF56" s="80"/>
      <c r="AG56" s="81"/>
    </row>
  </sheetData>
  <sheetProtection algorithmName="SHA-512" hashValue="NPewzHh3B61OqU81HJYRxFJ31gVIXRjFfrpO18J1I1fQJ0eDf38CDFzIF/FJZHvqiHBtw/ZsTQZWB5ZrSaJmCg==" saltValue="fXzifz2uXEvFWjl6QYVq+g==" spinCount="100000" sheet="1" objects="1" scenarios="1"/>
  <mergeCells count="14">
    <mergeCell ref="W46:AB46"/>
    <mergeCell ref="A46:F46"/>
    <mergeCell ref="B52:E52"/>
    <mergeCell ref="G47:I47"/>
    <mergeCell ref="G48:I48"/>
    <mergeCell ref="G49:I49"/>
    <mergeCell ref="G51:I51"/>
    <mergeCell ref="G50:I50"/>
    <mergeCell ref="AC47:AE47"/>
    <mergeCell ref="AC48:AE48"/>
    <mergeCell ref="AC49:AE49"/>
    <mergeCell ref="AC51:AE51"/>
    <mergeCell ref="X52:AA52"/>
    <mergeCell ref="AC50:AE50"/>
  </mergeCells>
  <printOptions horizontalCentered="1" verticalCentered="1"/>
  <pageMargins left="0" right="0" top="0" bottom="0" header="0" footer="0"/>
  <pageSetup paperSize="9" fitToWidth="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F1054"/>
  <sheetViews>
    <sheetView workbookViewId="0">
      <selection activeCell="E19" sqref="E19"/>
    </sheetView>
  </sheetViews>
  <sheetFormatPr defaultRowHeight="14.4" x14ac:dyDescent="0.3"/>
  <cols>
    <col min="1" max="1" width="38.6640625" customWidth="1"/>
    <col min="2" max="6" width="14.109375" style="19" customWidth="1"/>
    <col min="7" max="7" width="12.44140625" customWidth="1"/>
  </cols>
  <sheetData>
    <row r="2" spans="1:6" x14ac:dyDescent="0.3">
      <c r="A2" s="141">
        <v>43374</v>
      </c>
      <c r="B2" s="116" t="s">
        <v>87</v>
      </c>
      <c r="D2" s="36"/>
      <c r="E2" s="117"/>
    </row>
    <row r="3" spans="1:6" x14ac:dyDescent="0.3">
      <c r="A3" s="141">
        <v>43403</v>
      </c>
      <c r="B3" s="116" t="s">
        <v>88</v>
      </c>
      <c r="D3" s="36"/>
      <c r="E3" s="117"/>
    </row>
    <row r="4" spans="1:6" x14ac:dyDescent="0.3">
      <c r="A4" s="142"/>
      <c r="B4" s="116" t="s">
        <v>13</v>
      </c>
      <c r="D4" s="36"/>
      <c r="E4" s="117"/>
    </row>
    <row r="6" spans="1:6" x14ac:dyDescent="0.3">
      <c r="A6" s="115" t="s">
        <v>13</v>
      </c>
      <c r="B6" s="118" t="s">
        <v>32</v>
      </c>
      <c r="C6" s="118" t="s">
        <v>37</v>
      </c>
      <c r="D6" s="118" t="s">
        <v>59</v>
      </c>
      <c r="E6" s="118" t="s">
        <v>86</v>
      </c>
      <c r="F6" s="118" t="s">
        <v>85</v>
      </c>
    </row>
    <row r="7" spans="1:6" x14ac:dyDescent="0.3">
      <c r="A7" t="s">
        <v>146</v>
      </c>
      <c r="B7" s="19">
        <v>0</v>
      </c>
      <c r="C7" s="19">
        <v>0</v>
      </c>
      <c r="D7" s="19">
        <v>0</v>
      </c>
      <c r="E7" s="19">
        <v>0</v>
      </c>
      <c r="F7" s="19">
        <v>25993</v>
      </c>
    </row>
    <row r="9" spans="1:6" x14ac:dyDescent="0.3">
      <c r="A9" s="8" t="s">
        <v>155</v>
      </c>
      <c r="B9" s="195">
        <f>SUM(B7:B8)</f>
        <v>0</v>
      </c>
      <c r="C9" s="195">
        <f>SUM(C7:C8)</f>
        <v>0</v>
      </c>
      <c r="D9" s="195">
        <f>SUM(D7:D8)</f>
        <v>0</v>
      </c>
      <c r="E9" s="195">
        <f>SUM(E7:E8)</f>
        <v>0</v>
      </c>
      <c r="F9" s="195">
        <f>SUM(F7:F8)</f>
        <v>25993</v>
      </c>
    </row>
    <row r="1001" spans="5:5" x14ac:dyDescent="0.3">
      <c r="E1001" s="19" t="str">
        <f t="shared" ref="E1001:E1031" si="0">(IF(SUM(B1001:D1001)&lt;&gt;0,SUM(B1001:D1001),""))</f>
        <v/>
      </c>
    </row>
    <row r="1002" spans="5:5" x14ac:dyDescent="0.3">
      <c r="E1002" s="19" t="str">
        <f t="shared" si="0"/>
        <v/>
      </c>
    </row>
    <row r="1003" spans="5:5" x14ac:dyDescent="0.3">
      <c r="E1003" s="19" t="str">
        <f t="shared" si="0"/>
        <v/>
      </c>
    </row>
    <row r="1004" spans="5:5" x14ac:dyDescent="0.3">
      <c r="E1004" s="19" t="str">
        <f t="shared" si="0"/>
        <v/>
      </c>
    </row>
    <row r="1005" spans="5:5" x14ac:dyDescent="0.3">
      <c r="E1005" s="19" t="str">
        <f t="shared" si="0"/>
        <v/>
      </c>
    </row>
    <row r="1006" spans="5:5" x14ac:dyDescent="0.3">
      <c r="E1006" s="19" t="str">
        <f t="shared" si="0"/>
        <v/>
      </c>
    </row>
    <row r="1007" spans="5:5" x14ac:dyDescent="0.3">
      <c r="E1007" s="19" t="str">
        <f t="shared" si="0"/>
        <v/>
      </c>
    </row>
    <row r="1008" spans="5:5" x14ac:dyDescent="0.3">
      <c r="E1008" s="19" t="str">
        <f t="shared" si="0"/>
        <v/>
      </c>
    </row>
    <row r="1009" spans="5:5" x14ac:dyDescent="0.3">
      <c r="E1009" s="19" t="str">
        <f t="shared" si="0"/>
        <v/>
      </c>
    </row>
    <row r="1010" spans="5:5" x14ac:dyDescent="0.3">
      <c r="E1010" s="19" t="str">
        <f t="shared" si="0"/>
        <v/>
      </c>
    </row>
    <row r="1011" spans="5:5" x14ac:dyDescent="0.3">
      <c r="E1011" s="19" t="str">
        <f t="shared" si="0"/>
        <v/>
      </c>
    </row>
    <row r="1012" spans="5:5" x14ac:dyDescent="0.3">
      <c r="E1012" s="19" t="str">
        <f t="shared" si="0"/>
        <v/>
      </c>
    </row>
    <row r="1013" spans="5:5" x14ac:dyDescent="0.3">
      <c r="E1013" s="19" t="str">
        <f t="shared" si="0"/>
        <v/>
      </c>
    </row>
    <row r="1014" spans="5:5" x14ac:dyDescent="0.3">
      <c r="E1014" s="19" t="str">
        <f t="shared" si="0"/>
        <v/>
      </c>
    </row>
    <row r="1015" spans="5:5" x14ac:dyDescent="0.3">
      <c r="E1015" s="19" t="str">
        <f t="shared" si="0"/>
        <v/>
      </c>
    </row>
    <row r="1016" spans="5:5" x14ac:dyDescent="0.3">
      <c r="E1016" s="19" t="str">
        <f t="shared" si="0"/>
        <v/>
      </c>
    </row>
    <row r="1017" spans="5:5" x14ac:dyDescent="0.3">
      <c r="E1017" s="19" t="str">
        <f t="shared" si="0"/>
        <v/>
      </c>
    </row>
    <row r="1018" spans="5:5" x14ac:dyDescent="0.3">
      <c r="E1018" s="19" t="str">
        <f t="shared" si="0"/>
        <v/>
      </c>
    </row>
    <row r="1019" spans="5:5" x14ac:dyDescent="0.3">
      <c r="E1019" s="19" t="str">
        <f t="shared" si="0"/>
        <v/>
      </c>
    </row>
    <row r="1020" spans="5:5" x14ac:dyDescent="0.3">
      <c r="E1020" s="19" t="str">
        <f t="shared" si="0"/>
        <v/>
      </c>
    </row>
    <row r="1021" spans="5:5" x14ac:dyDescent="0.3">
      <c r="E1021" s="19" t="str">
        <f t="shared" si="0"/>
        <v/>
      </c>
    </row>
    <row r="1022" spans="5:5" x14ac:dyDescent="0.3">
      <c r="E1022" s="19" t="str">
        <f t="shared" si="0"/>
        <v/>
      </c>
    </row>
    <row r="1023" spans="5:5" x14ac:dyDescent="0.3">
      <c r="E1023" s="19" t="str">
        <f t="shared" si="0"/>
        <v/>
      </c>
    </row>
    <row r="1024" spans="5:5" x14ac:dyDescent="0.3">
      <c r="E1024" s="19" t="str">
        <f t="shared" si="0"/>
        <v/>
      </c>
    </row>
    <row r="1025" spans="5:5" x14ac:dyDescent="0.3">
      <c r="E1025" s="19" t="str">
        <f t="shared" si="0"/>
        <v/>
      </c>
    </row>
    <row r="1026" spans="5:5" x14ac:dyDescent="0.3">
      <c r="E1026" s="19" t="str">
        <f t="shared" si="0"/>
        <v/>
      </c>
    </row>
    <row r="1027" spans="5:5" x14ac:dyDescent="0.3">
      <c r="E1027" s="19" t="str">
        <f t="shared" si="0"/>
        <v/>
      </c>
    </row>
    <row r="1028" spans="5:5" x14ac:dyDescent="0.3">
      <c r="E1028" s="19" t="str">
        <f t="shared" si="0"/>
        <v/>
      </c>
    </row>
    <row r="1029" spans="5:5" x14ac:dyDescent="0.3">
      <c r="E1029" s="19" t="str">
        <f t="shared" si="0"/>
        <v/>
      </c>
    </row>
    <row r="1030" spans="5:5" x14ac:dyDescent="0.3">
      <c r="E1030" s="19" t="str">
        <f t="shared" si="0"/>
        <v/>
      </c>
    </row>
    <row r="1031" spans="5:5" x14ac:dyDescent="0.3">
      <c r="E1031" s="19" t="str">
        <f t="shared" si="0"/>
        <v/>
      </c>
    </row>
    <row r="1032" spans="5:5" x14ac:dyDescent="0.3">
      <c r="E1032" s="19" t="str">
        <f t="shared" ref="E1032:E1054" si="1">(IF(SUM(B1032:D1032)&lt;&gt;0,SUM(B1032:D1032),""))</f>
        <v/>
      </c>
    </row>
    <row r="1033" spans="5:5" x14ac:dyDescent="0.3">
      <c r="E1033" s="19" t="str">
        <f t="shared" si="1"/>
        <v/>
      </c>
    </row>
    <row r="1034" spans="5:5" x14ac:dyDescent="0.3">
      <c r="E1034" s="19" t="str">
        <f t="shared" si="1"/>
        <v/>
      </c>
    </row>
    <row r="1035" spans="5:5" x14ac:dyDescent="0.3">
      <c r="E1035" s="19" t="str">
        <f t="shared" si="1"/>
        <v/>
      </c>
    </row>
    <row r="1036" spans="5:5" x14ac:dyDescent="0.3">
      <c r="E1036" s="19" t="str">
        <f t="shared" si="1"/>
        <v/>
      </c>
    </row>
    <row r="1037" spans="5:5" x14ac:dyDescent="0.3">
      <c r="E1037" s="19" t="str">
        <f t="shared" si="1"/>
        <v/>
      </c>
    </row>
    <row r="1038" spans="5:5" x14ac:dyDescent="0.3">
      <c r="E1038" s="19" t="str">
        <f t="shared" si="1"/>
        <v/>
      </c>
    </row>
    <row r="1039" spans="5:5" x14ac:dyDescent="0.3">
      <c r="E1039" s="19" t="str">
        <f t="shared" si="1"/>
        <v/>
      </c>
    </row>
    <row r="1040" spans="5:5" x14ac:dyDescent="0.3">
      <c r="E1040" s="19" t="str">
        <f t="shared" si="1"/>
        <v/>
      </c>
    </row>
    <row r="1041" spans="5:5" x14ac:dyDescent="0.3">
      <c r="E1041" s="19" t="str">
        <f t="shared" si="1"/>
        <v/>
      </c>
    </row>
    <row r="1042" spans="5:5" x14ac:dyDescent="0.3">
      <c r="E1042" s="19" t="str">
        <f t="shared" si="1"/>
        <v/>
      </c>
    </row>
    <row r="1043" spans="5:5" x14ac:dyDescent="0.3">
      <c r="E1043" s="19" t="str">
        <f t="shared" si="1"/>
        <v/>
      </c>
    </row>
    <row r="1044" spans="5:5" x14ac:dyDescent="0.3">
      <c r="E1044" s="19" t="str">
        <f t="shared" si="1"/>
        <v/>
      </c>
    </row>
    <row r="1045" spans="5:5" x14ac:dyDescent="0.3">
      <c r="E1045" s="19" t="str">
        <f t="shared" si="1"/>
        <v/>
      </c>
    </row>
    <row r="1046" spans="5:5" x14ac:dyDescent="0.3">
      <c r="E1046" s="19" t="str">
        <f t="shared" si="1"/>
        <v/>
      </c>
    </row>
    <row r="1047" spans="5:5" x14ac:dyDescent="0.3">
      <c r="E1047" s="19" t="str">
        <f t="shared" si="1"/>
        <v/>
      </c>
    </row>
    <row r="1048" spans="5:5" x14ac:dyDescent="0.3">
      <c r="E1048" s="19" t="str">
        <f t="shared" si="1"/>
        <v/>
      </c>
    </row>
    <row r="1049" spans="5:5" x14ac:dyDescent="0.3">
      <c r="E1049" s="19" t="str">
        <f t="shared" si="1"/>
        <v/>
      </c>
    </row>
    <row r="1050" spans="5:5" x14ac:dyDescent="0.3">
      <c r="E1050" s="19" t="str">
        <f t="shared" si="1"/>
        <v/>
      </c>
    </row>
    <row r="1051" spans="5:5" x14ac:dyDescent="0.3">
      <c r="E1051" s="19" t="str">
        <f t="shared" si="1"/>
        <v/>
      </c>
    </row>
    <row r="1052" spans="5:5" x14ac:dyDescent="0.3">
      <c r="E1052" s="19" t="str">
        <f t="shared" si="1"/>
        <v/>
      </c>
    </row>
    <row r="1053" spans="5:5" x14ac:dyDescent="0.3">
      <c r="E1053" s="19" t="str">
        <f t="shared" si="1"/>
        <v/>
      </c>
    </row>
    <row r="1054" spans="5:5" x14ac:dyDescent="0.3">
      <c r="E1054" s="19" t="str">
        <f t="shared" si="1"/>
        <v/>
      </c>
    </row>
  </sheetData>
  <sheetProtection algorithmName="SHA-512" hashValue="PyO+CH8bZCUomWo2gWxh0hWPNccnPw04MM+ZFLPNDcO4qxmwCJRCjHPGG3tMs1pnkdebcm/LWKGWup47psRJsw==" saltValue="nkn5+UzmopJO7qXQ9AvwiQ==" spinCount="100000" sheet="1" objects="1" scenarios="1"/>
  <dataValidations count="1">
    <dataValidation type="list" allowBlank="1" showInputMessage="1" showErrorMessage="1" sqref="A4" xr:uid="{00000000-0002-0000-0700-000000000000}">
      <formula1>Customer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eport">
                <anchor moveWithCells="1" sizeWithCells="1">
                  <from>
                    <xdr:col>3</xdr:col>
                    <xdr:colOff>289560</xdr:colOff>
                    <xdr:row>1</xdr:row>
                    <xdr:rowOff>175260</xdr:rowOff>
                  </from>
                  <to>
                    <xdr:col>4</xdr:col>
                    <xdr:colOff>685800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D59"/>
  <sheetViews>
    <sheetView view="pageLayout" zoomScaleNormal="100" workbookViewId="0">
      <selection activeCell="D16" sqref="D16"/>
    </sheetView>
  </sheetViews>
  <sheetFormatPr defaultRowHeight="14.4" x14ac:dyDescent="0.3"/>
  <cols>
    <col min="1" max="1" width="30" customWidth="1"/>
    <col min="2" max="2" width="5" bestFit="1" customWidth="1"/>
    <col min="3" max="4" width="9.44140625" bestFit="1" customWidth="1"/>
    <col min="5" max="5" width="5.44140625" bestFit="1" customWidth="1"/>
    <col min="6" max="6" width="9.44140625" bestFit="1" customWidth="1"/>
    <col min="7" max="7" width="7" customWidth="1"/>
    <col min="8" max="8" width="9.44140625" bestFit="1" customWidth="1"/>
    <col min="9" max="9" width="9.44140625" customWidth="1"/>
    <col min="10" max="10" width="10.44140625" style="25" customWidth="1"/>
    <col min="11" max="11" width="30" customWidth="1"/>
    <col min="12" max="12" width="5" bestFit="1" customWidth="1"/>
    <col min="13" max="14" width="9.44140625" bestFit="1" customWidth="1"/>
    <col min="15" max="15" width="5.44140625" bestFit="1" customWidth="1"/>
    <col min="16" max="16" width="9.44140625" bestFit="1" customWidth="1"/>
    <col min="17" max="17" width="7" customWidth="1"/>
    <col min="18" max="18" width="9.44140625" bestFit="1" customWidth="1"/>
    <col min="19" max="19" width="9.44140625" customWidth="1"/>
    <col min="20" max="20" width="10.44140625" style="25" customWidth="1"/>
    <col min="21" max="21" width="30" customWidth="1"/>
    <col min="22" max="22" width="5" bestFit="1" customWidth="1"/>
    <col min="23" max="24" width="9.44140625" bestFit="1" customWidth="1"/>
    <col min="25" max="25" width="5.44140625" bestFit="1" customWidth="1"/>
    <col min="26" max="26" width="9.44140625" bestFit="1" customWidth="1"/>
    <col min="27" max="27" width="7" customWidth="1"/>
    <col min="28" max="28" width="9.44140625" bestFit="1" customWidth="1"/>
    <col min="29" max="29" width="9.44140625" customWidth="1"/>
    <col min="30" max="30" width="10.44140625" style="25" customWidth="1"/>
  </cols>
  <sheetData>
    <row r="1" spans="1:30" x14ac:dyDescent="0.3">
      <c r="A1" s="20"/>
      <c r="B1" s="21"/>
      <c r="C1" s="21"/>
      <c r="D1" s="21"/>
      <c r="E1" s="21"/>
      <c r="F1" s="21"/>
      <c r="G1" s="21"/>
      <c r="H1" s="21"/>
      <c r="I1" s="21"/>
      <c r="J1" s="24"/>
      <c r="K1" s="20"/>
      <c r="L1" s="21"/>
      <c r="M1" s="21"/>
      <c r="N1" s="21"/>
      <c r="O1" s="21"/>
      <c r="P1" s="21"/>
      <c r="Q1" s="21"/>
      <c r="R1" s="21"/>
      <c r="S1" s="21"/>
      <c r="T1" s="24"/>
      <c r="U1" s="20"/>
      <c r="V1" s="21"/>
      <c r="W1" s="21"/>
      <c r="X1" s="21"/>
      <c r="Y1" s="21"/>
      <c r="Z1" s="21"/>
      <c r="AA1" s="21"/>
      <c r="AB1" s="21"/>
      <c r="AC1" s="21"/>
      <c r="AD1" s="24"/>
    </row>
    <row r="2" spans="1:30" x14ac:dyDescent="0.3">
      <c r="A2" s="20"/>
      <c r="B2" s="21"/>
      <c r="C2" s="21"/>
      <c r="D2" s="21"/>
      <c r="E2" s="21"/>
      <c r="F2" s="21"/>
      <c r="G2" s="21"/>
      <c r="H2" s="21"/>
      <c r="I2" s="21"/>
      <c r="J2" s="24"/>
      <c r="K2" s="20"/>
      <c r="L2" s="21"/>
      <c r="M2" s="21"/>
      <c r="N2" s="21"/>
      <c r="O2" s="21"/>
      <c r="P2" s="21"/>
      <c r="Q2" s="21"/>
      <c r="R2" s="21"/>
      <c r="S2" s="21"/>
      <c r="T2" s="24"/>
      <c r="U2" s="20"/>
      <c r="V2" s="21"/>
      <c r="W2" s="21"/>
      <c r="X2" s="21"/>
      <c r="Y2" s="21"/>
      <c r="Z2" s="21"/>
      <c r="AA2" s="21"/>
      <c r="AB2" s="21"/>
      <c r="AC2" s="21"/>
      <c r="AD2" s="24"/>
    </row>
    <row r="3" spans="1:30" x14ac:dyDescent="0.3">
      <c r="A3" s="20"/>
      <c r="B3" s="21"/>
      <c r="C3" s="21"/>
      <c r="D3" s="21"/>
      <c r="E3" s="21"/>
      <c r="F3" s="21"/>
      <c r="G3" s="21"/>
      <c r="H3" s="21"/>
      <c r="I3" s="21"/>
      <c r="J3" s="24"/>
      <c r="K3" s="20"/>
      <c r="L3" s="21"/>
      <c r="M3" s="21"/>
      <c r="N3" s="21"/>
      <c r="O3" s="21"/>
      <c r="P3" s="21"/>
      <c r="Q3" s="21"/>
      <c r="R3" s="21"/>
      <c r="S3" s="21"/>
      <c r="T3" s="24"/>
      <c r="U3" s="20"/>
      <c r="V3" s="21"/>
      <c r="W3" s="21"/>
      <c r="X3" s="21"/>
      <c r="Y3" s="21"/>
      <c r="Z3" s="21"/>
      <c r="AA3" s="21"/>
      <c r="AB3" s="21"/>
      <c r="AC3" s="21"/>
      <c r="AD3" s="24"/>
    </row>
    <row r="4" spans="1:30" x14ac:dyDescent="0.3">
      <c r="A4" s="20"/>
      <c r="B4" s="21"/>
      <c r="C4" s="21"/>
      <c r="D4" s="21"/>
      <c r="E4" s="21"/>
      <c r="F4" s="21"/>
      <c r="G4" s="21"/>
      <c r="H4" s="21"/>
      <c r="I4" s="21"/>
      <c r="J4" s="24"/>
      <c r="K4" s="20"/>
      <c r="L4" s="21"/>
      <c r="M4" s="21"/>
      <c r="N4" s="21"/>
      <c r="O4" s="21"/>
      <c r="P4" s="21"/>
      <c r="Q4" s="21"/>
      <c r="R4" s="21"/>
      <c r="S4" s="21"/>
      <c r="T4" s="24"/>
      <c r="U4" s="20"/>
      <c r="V4" s="21"/>
      <c r="W4" s="21"/>
      <c r="X4" s="21"/>
      <c r="Y4" s="21"/>
      <c r="Z4" s="21"/>
      <c r="AA4" s="21"/>
      <c r="AB4" s="21"/>
      <c r="AC4" s="21"/>
      <c r="AD4" s="24"/>
    </row>
    <row r="5" spans="1:30" x14ac:dyDescent="0.3">
      <c r="A5" s="20"/>
      <c r="B5" s="21"/>
      <c r="C5" s="21"/>
      <c r="D5" s="21"/>
      <c r="E5" s="21"/>
      <c r="F5" s="21"/>
      <c r="G5" s="21"/>
      <c r="H5" s="21"/>
      <c r="I5" s="21"/>
      <c r="J5" s="24"/>
      <c r="K5" s="20"/>
      <c r="L5" s="21"/>
      <c r="M5" s="21"/>
      <c r="N5" s="21"/>
      <c r="O5" s="21"/>
      <c r="P5" s="21"/>
      <c r="Q5" s="21"/>
      <c r="R5" s="21"/>
      <c r="S5" s="21"/>
      <c r="T5" s="24"/>
      <c r="U5" s="20"/>
      <c r="V5" s="21"/>
      <c r="W5" s="21"/>
      <c r="X5" s="21"/>
      <c r="Y5" s="21"/>
      <c r="Z5" s="21"/>
      <c r="AA5" s="21"/>
      <c r="AB5" s="21"/>
      <c r="AC5" s="21"/>
      <c r="AD5" s="24"/>
    </row>
    <row r="6" spans="1:30" x14ac:dyDescent="0.3">
      <c r="A6" s="21"/>
      <c r="B6" s="21"/>
      <c r="C6" s="21"/>
      <c r="D6" s="21"/>
      <c r="E6" s="21"/>
      <c r="F6" s="21"/>
      <c r="G6" s="21"/>
      <c r="H6" s="21"/>
      <c r="I6" s="21"/>
      <c r="J6" s="24"/>
      <c r="K6" s="21"/>
      <c r="L6" s="21"/>
      <c r="M6" s="21"/>
      <c r="N6" s="21"/>
      <c r="O6" s="21"/>
      <c r="P6" s="21"/>
      <c r="Q6" s="21"/>
      <c r="R6" s="21"/>
      <c r="S6" s="21"/>
      <c r="T6" s="24"/>
      <c r="U6" s="21"/>
      <c r="V6" s="21"/>
      <c r="W6" s="21"/>
      <c r="X6" s="21"/>
      <c r="Y6" s="21"/>
      <c r="Z6" s="21"/>
      <c r="AA6" s="21"/>
      <c r="AB6" s="21"/>
      <c r="AC6" s="21"/>
      <c r="AD6" s="24"/>
    </row>
    <row r="7" spans="1:30" x14ac:dyDescent="0.3">
      <c r="A7" s="21"/>
      <c r="B7" s="21"/>
      <c r="C7" s="21"/>
      <c r="D7" s="21"/>
      <c r="E7" s="21"/>
      <c r="F7" s="21"/>
      <c r="G7" s="21"/>
      <c r="H7" s="21"/>
      <c r="I7" s="21"/>
      <c r="J7" s="24"/>
      <c r="K7" s="21"/>
      <c r="L7" s="21"/>
      <c r="M7" s="21"/>
      <c r="N7" s="21"/>
      <c r="O7" s="21"/>
      <c r="P7" s="21"/>
      <c r="Q7" s="21"/>
      <c r="R7" s="21"/>
      <c r="S7" s="21"/>
      <c r="T7" s="24"/>
      <c r="U7" s="21"/>
      <c r="V7" s="21"/>
      <c r="W7" s="21"/>
      <c r="X7" s="21"/>
      <c r="Y7" s="21"/>
      <c r="Z7" s="21"/>
      <c r="AA7" s="21"/>
      <c r="AB7" s="21"/>
      <c r="AC7" s="21"/>
      <c r="AD7" s="24"/>
    </row>
    <row r="8" spans="1:30" ht="18" customHeight="1" x14ac:dyDescent="0.3">
      <c r="A8" s="21"/>
      <c r="B8" s="21"/>
      <c r="C8" s="21"/>
      <c r="D8" s="21"/>
      <c r="E8" s="21"/>
      <c r="F8" s="21"/>
      <c r="G8" s="21"/>
      <c r="H8" s="21"/>
      <c r="I8" s="21"/>
      <c r="J8" s="24"/>
      <c r="K8" s="21"/>
      <c r="L8" s="21"/>
      <c r="M8" s="21"/>
      <c r="N8" s="21"/>
      <c r="O8" s="21"/>
      <c r="P8" s="21"/>
      <c r="Q8" s="21"/>
      <c r="R8" s="21"/>
      <c r="S8" s="21"/>
      <c r="T8" s="24"/>
      <c r="U8" s="21"/>
      <c r="V8" s="21"/>
      <c r="W8" s="21"/>
      <c r="X8" s="21"/>
      <c r="Y8" s="21"/>
      <c r="Z8" s="21"/>
      <c r="AA8" s="21"/>
      <c r="AB8" s="21"/>
      <c r="AC8" s="21"/>
      <c r="AD8" s="24"/>
    </row>
    <row r="9" spans="1:30" x14ac:dyDescent="0.3">
      <c r="A9" s="21"/>
      <c r="B9" s="21"/>
      <c r="C9" s="21"/>
      <c r="D9" s="21"/>
      <c r="E9" s="21"/>
      <c r="F9" s="21"/>
      <c r="G9" s="21"/>
      <c r="H9" s="21"/>
      <c r="I9" s="21"/>
      <c r="J9" s="24"/>
      <c r="K9" s="21"/>
      <c r="L9" s="21"/>
      <c r="M9" s="21"/>
      <c r="N9" s="21"/>
      <c r="O9" s="21"/>
      <c r="P9" s="21"/>
      <c r="Q9" s="21"/>
      <c r="R9" s="21"/>
      <c r="S9" s="21"/>
      <c r="T9" s="24"/>
      <c r="U9" s="21"/>
      <c r="V9" s="21"/>
      <c r="W9" s="21"/>
      <c r="X9" s="21"/>
      <c r="Y9" s="21"/>
      <c r="Z9" s="21"/>
      <c r="AA9" s="21"/>
      <c r="AB9" s="21"/>
      <c r="AC9" s="21"/>
      <c r="AD9" s="24"/>
    </row>
    <row r="10" spans="1:30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4"/>
      <c r="K10" s="21"/>
      <c r="L10" s="21"/>
      <c r="M10" s="21"/>
      <c r="N10" s="21"/>
      <c r="O10" s="21"/>
      <c r="P10" s="21"/>
      <c r="Q10" s="21"/>
      <c r="R10" s="21"/>
      <c r="S10" s="21"/>
      <c r="T10" s="24"/>
      <c r="U10" s="21"/>
      <c r="V10" s="21"/>
      <c r="W10" s="21"/>
      <c r="X10" s="21"/>
      <c r="Y10" s="21"/>
      <c r="Z10" s="21"/>
      <c r="AA10" s="21"/>
      <c r="AB10" s="21"/>
      <c r="AC10" s="21"/>
      <c r="AD10" s="24"/>
    </row>
    <row r="11" spans="1:30" x14ac:dyDescent="0.3">
      <c r="A11" s="21"/>
      <c r="B11" s="21"/>
      <c r="C11" s="21"/>
      <c r="D11" s="21"/>
      <c r="E11" s="21"/>
      <c r="F11" s="21"/>
      <c r="G11" s="21"/>
      <c r="H11" s="21"/>
      <c r="I11" s="21"/>
      <c r="J11" s="24"/>
      <c r="K11" s="21"/>
      <c r="L11" s="21"/>
      <c r="M11" s="21"/>
      <c r="N11" s="21"/>
      <c r="O11" s="21"/>
      <c r="P11" s="21"/>
      <c r="Q11" s="21"/>
      <c r="R11" s="21"/>
      <c r="S11" s="21"/>
      <c r="T11" s="24"/>
      <c r="U11" s="21"/>
      <c r="V11" s="21"/>
      <c r="W11" s="21"/>
      <c r="X11" s="21"/>
      <c r="Y11" s="21"/>
      <c r="Z11" s="21"/>
      <c r="AA11" s="21"/>
      <c r="AB11" s="21"/>
      <c r="AC11" s="21"/>
      <c r="AD11" s="24"/>
    </row>
    <row r="12" spans="1:30" x14ac:dyDescent="0.3">
      <c r="A12" s="21"/>
      <c r="B12" s="21"/>
      <c r="C12" s="21"/>
      <c r="D12" s="21"/>
      <c r="E12" s="21"/>
      <c r="F12" s="21"/>
      <c r="G12" s="21"/>
      <c r="H12" s="21"/>
      <c r="I12" s="21"/>
      <c r="J12" s="24"/>
      <c r="K12" s="21"/>
      <c r="L12" s="21"/>
      <c r="M12" s="21"/>
      <c r="N12" s="21"/>
      <c r="O12" s="21"/>
      <c r="P12" s="21"/>
      <c r="Q12" s="21"/>
      <c r="R12" s="21"/>
      <c r="S12" s="21"/>
      <c r="T12" s="24"/>
      <c r="U12" s="21"/>
      <c r="V12" s="21"/>
      <c r="W12" s="21"/>
      <c r="X12" s="21"/>
      <c r="Y12" s="21"/>
      <c r="Z12" s="21"/>
      <c r="AA12" s="21"/>
      <c r="AB12" s="21"/>
      <c r="AC12" s="21"/>
      <c r="AD12" s="24"/>
    </row>
    <row r="13" spans="1:30" x14ac:dyDescent="0.3">
      <c r="A13" s="21"/>
      <c r="B13" s="21"/>
      <c r="C13" s="21"/>
      <c r="D13" s="21"/>
      <c r="E13" s="21"/>
      <c r="F13" s="21"/>
      <c r="G13" s="21"/>
      <c r="H13" s="21"/>
      <c r="I13" s="21"/>
      <c r="J13" s="24"/>
      <c r="K13" s="21"/>
      <c r="L13" s="21"/>
      <c r="M13" s="21"/>
      <c r="N13" s="21"/>
      <c r="O13" s="21"/>
      <c r="P13" s="21"/>
      <c r="Q13" s="21"/>
      <c r="R13" s="21"/>
      <c r="S13" s="21"/>
      <c r="T13" s="24"/>
      <c r="U13" s="21"/>
      <c r="V13" s="21"/>
      <c r="W13" s="21"/>
      <c r="X13" s="21"/>
      <c r="Y13" s="21"/>
      <c r="Z13" s="21"/>
      <c r="AA13" s="21"/>
      <c r="AB13" s="21"/>
      <c r="AC13" s="21"/>
      <c r="AD13" s="24"/>
    </row>
    <row r="14" spans="1:30" s="25" customFormat="1" ht="31.5" customHeight="1" x14ac:dyDescent="0.3">
      <c r="A14" s="22" t="s">
        <v>61</v>
      </c>
      <c r="B14" s="29" t="s">
        <v>65</v>
      </c>
      <c r="C14" s="29" t="s">
        <v>1</v>
      </c>
      <c r="D14" s="29" t="s">
        <v>66</v>
      </c>
      <c r="E14" s="30" t="s">
        <v>71</v>
      </c>
      <c r="F14" s="29" t="s">
        <v>68</v>
      </c>
      <c r="G14" s="29" t="s">
        <v>67</v>
      </c>
      <c r="H14" s="30" t="s">
        <v>69</v>
      </c>
      <c r="I14" s="30" t="s">
        <v>70</v>
      </c>
      <c r="J14" s="22" t="s">
        <v>62</v>
      </c>
      <c r="K14" s="22" t="s">
        <v>61</v>
      </c>
      <c r="L14" s="29" t="s">
        <v>65</v>
      </c>
      <c r="M14" s="29" t="s">
        <v>1</v>
      </c>
      <c r="N14" s="29" t="s">
        <v>66</v>
      </c>
      <c r="O14" s="30" t="s">
        <v>71</v>
      </c>
      <c r="P14" s="29" t="s">
        <v>68</v>
      </c>
      <c r="Q14" s="29" t="s">
        <v>67</v>
      </c>
      <c r="R14" s="30" t="s">
        <v>69</v>
      </c>
      <c r="S14" s="30" t="s">
        <v>70</v>
      </c>
      <c r="T14" s="22" t="s">
        <v>62</v>
      </c>
      <c r="U14" s="22" t="s">
        <v>61</v>
      </c>
      <c r="V14" s="29" t="s">
        <v>65</v>
      </c>
      <c r="W14" s="29" t="s">
        <v>1</v>
      </c>
      <c r="X14" s="29" t="s">
        <v>66</v>
      </c>
      <c r="Y14" s="30" t="s">
        <v>71</v>
      </c>
      <c r="Z14" s="29" t="s">
        <v>68</v>
      </c>
      <c r="AA14" s="29" t="s">
        <v>67</v>
      </c>
      <c r="AB14" s="30" t="s">
        <v>69</v>
      </c>
      <c r="AC14" s="30" t="s">
        <v>70</v>
      </c>
      <c r="AD14" s="22" t="s">
        <v>62</v>
      </c>
    </row>
    <row r="15" spans="1:30" x14ac:dyDescent="0.3">
      <c r="A15" s="26"/>
      <c r="B15" s="27"/>
      <c r="C15" s="28"/>
      <c r="D15" s="28"/>
      <c r="E15" s="28"/>
      <c r="F15" s="28"/>
      <c r="G15" s="28"/>
      <c r="H15" s="28"/>
      <c r="I15" s="28"/>
      <c r="J15" s="28"/>
      <c r="K15" s="26"/>
      <c r="L15" s="27"/>
      <c r="M15" s="28"/>
      <c r="N15" s="28"/>
      <c r="O15" s="28"/>
      <c r="P15" s="28"/>
      <c r="Q15" s="28"/>
      <c r="R15" s="28"/>
      <c r="S15" s="28"/>
      <c r="T15" s="33"/>
      <c r="U15" s="26"/>
      <c r="V15" s="27"/>
      <c r="W15" s="28"/>
      <c r="X15" s="28"/>
      <c r="Y15" s="28"/>
      <c r="Z15" s="28"/>
      <c r="AA15" s="28"/>
      <c r="AB15" s="28"/>
      <c r="AC15" s="28"/>
      <c r="AD15" s="33"/>
    </row>
    <row r="16" spans="1:30" x14ac:dyDescent="0.3">
      <c r="A16" s="26"/>
      <c r="B16" s="27"/>
      <c r="C16" s="28"/>
      <c r="D16" s="28"/>
      <c r="E16" s="28"/>
      <c r="F16" s="28"/>
      <c r="G16" s="28"/>
      <c r="H16" s="28"/>
      <c r="I16" s="28"/>
      <c r="J16" s="33"/>
      <c r="K16" s="26"/>
      <c r="L16" s="27"/>
      <c r="M16" s="28"/>
      <c r="N16" s="28"/>
      <c r="O16" s="28"/>
      <c r="P16" s="28"/>
      <c r="Q16" s="28"/>
      <c r="R16" s="28"/>
      <c r="S16" s="28"/>
      <c r="T16" s="33"/>
      <c r="U16" s="26"/>
      <c r="V16" s="27"/>
      <c r="W16" s="28"/>
      <c r="X16" s="28"/>
      <c r="Y16" s="28"/>
      <c r="Z16" s="28"/>
      <c r="AA16" s="28"/>
      <c r="AB16" s="28"/>
      <c r="AC16" s="28"/>
      <c r="AD16" s="33"/>
    </row>
    <row r="17" spans="1:30" x14ac:dyDescent="0.3">
      <c r="A17" s="26"/>
      <c r="B17" s="27"/>
      <c r="C17" s="28"/>
      <c r="D17" s="28"/>
      <c r="E17" s="28"/>
      <c r="F17" s="28"/>
      <c r="G17" s="28"/>
      <c r="H17" s="28"/>
      <c r="I17" s="28"/>
      <c r="J17" s="33"/>
      <c r="K17" s="26"/>
      <c r="L17" s="27"/>
      <c r="M17" s="28"/>
      <c r="N17" s="28"/>
      <c r="O17" s="28"/>
      <c r="P17" s="28"/>
      <c r="Q17" s="28"/>
      <c r="R17" s="28"/>
      <c r="S17" s="28"/>
      <c r="T17" s="33"/>
      <c r="U17" s="26"/>
      <c r="V17" s="27"/>
      <c r="W17" s="28"/>
      <c r="X17" s="28"/>
      <c r="Y17" s="28"/>
      <c r="Z17" s="28"/>
      <c r="AA17" s="28"/>
      <c r="AB17" s="28"/>
      <c r="AC17" s="28"/>
      <c r="AD17" s="33"/>
    </row>
    <row r="18" spans="1:30" x14ac:dyDescent="0.3">
      <c r="A18" s="26"/>
      <c r="B18" s="27"/>
      <c r="C18" s="28"/>
      <c r="D18" s="28"/>
      <c r="E18" s="28"/>
      <c r="F18" s="28"/>
      <c r="G18" s="28"/>
      <c r="H18" s="28"/>
      <c r="I18" s="28"/>
      <c r="J18" s="33"/>
      <c r="K18" s="26"/>
      <c r="L18" s="27"/>
      <c r="M18" s="28"/>
      <c r="N18" s="28"/>
      <c r="O18" s="28"/>
      <c r="P18" s="28"/>
      <c r="Q18" s="28"/>
      <c r="R18" s="28"/>
      <c r="S18" s="28"/>
      <c r="T18" s="33"/>
      <c r="U18" s="26"/>
      <c r="V18" s="27"/>
      <c r="W18" s="28"/>
      <c r="X18" s="28"/>
      <c r="Y18" s="28"/>
      <c r="Z18" s="28"/>
      <c r="AA18" s="28"/>
      <c r="AB18" s="28"/>
      <c r="AC18" s="28"/>
      <c r="AD18" s="33"/>
    </row>
    <row r="19" spans="1:30" x14ac:dyDescent="0.3">
      <c r="A19" s="26"/>
      <c r="B19" s="27"/>
      <c r="C19" s="28"/>
      <c r="D19" s="28"/>
      <c r="E19" s="28"/>
      <c r="F19" s="28"/>
      <c r="G19" s="28"/>
      <c r="H19" s="28"/>
      <c r="I19" s="28"/>
      <c r="J19" s="33"/>
      <c r="K19" s="26"/>
      <c r="L19" s="27"/>
      <c r="M19" s="28"/>
      <c r="N19" s="28"/>
      <c r="O19" s="28"/>
      <c r="P19" s="28"/>
      <c r="Q19" s="28"/>
      <c r="R19" s="28"/>
      <c r="S19" s="28"/>
      <c r="T19" s="33"/>
      <c r="U19" s="26"/>
      <c r="V19" s="27"/>
      <c r="W19" s="28"/>
      <c r="X19" s="28"/>
      <c r="Y19" s="28"/>
      <c r="Z19" s="28"/>
      <c r="AA19" s="28"/>
      <c r="AB19" s="28"/>
      <c r="AC19" s="28"/>
      <c r="AD19" s="33"/>
    </row>
    <row r="20" spans="1:30" x14ac:dyDescent="0.3">
      <c r="A20" s="26"/>
      <c r="B20" s="27"/>
      <c r="C20" s="28"/>
      <c r="D20" s="28"/>
      <c r="E20" s="28"/>
      <c r="F20" s="28"/>
      <c r="G20" s="28"/>
      <c r="H20" s="28"/>
      <c r="I20" s="28"/>
      <c r="J20" s="33"/>
      <c r="K20" s="26"/>
      <c r="L20" s="27"/>
      <c r="M20" s="28"/>
      <c r="N20" s="28"/>
      <c r="O20" s="28"/>
      <c r="P20" s="28"/>
      <c r="Q20" s="28"/>
      <c r="R20" s="28"/>
      <c r="S20" s="28"/>
      <c r="T20" s="33"/>
      <c r="U20" s="26"/>
      <c r="V20" s="27"/>
      <c r="W20" s="28"/>
      <c r="X20" s="28"/>
      <c r="Y20" s="28"/>
      <c r="Z20" s="28"/>
      <c r="AA20" s="28"/>
      <c r="AB20" s="28"/>
      <c r="AC20" s="28"/>
      <c r="AD20" s="33"/>
    </row>
    <row r="21" spans="1:30" x14ac:dyDescent="0.3">
      <c r="A21" s="26"/>
      <c r="B21" s="27"/>
      <c r="C21" s="28"/>
      <c r="D21" s="28"/>
      <c r="E21" s="28"/>
      <c r="F21" s="28"/>
      <c r="G21" s="28"/>
      <c r="H21" s="28"/>
      <c r="I21" s="28"/>
      <c r="J21" s="33"/>
      <c r="K21" s="26"/>
      <c r="L21" s="27"/>
      <c r="M21" s="28"/>
      <c r="N21" s="28"/>
      <c r="O21" s="28"/>
      <c r="P21" s="28"/>
      <c r="Q21" s="28"/>
      <c r="R21" s="28"/>
      <c r="S21" s="28"/>
      <c r="T21" s="33"/>
      <c r="U21" s="26"/>
      <c r="V21" s="27"/>
      <c r="W21" s="28"/>
      <c r="X21" s="28"/>
      <c r="Y21" s="28"/>
      <c r="Z21" s="28"/>
      <c r="AA21" s="28"/>
      <c r="AB21" s="28"/>
      <c r="AC21" s="28"/>
      <c r="AD21" s="33"/>
    </row>
    <row r="22" spans="1:30" x14ac:dyDescent="0.3">
      <c r="A22" s="26"/>
      <c r="B22" s="27"/>
      <c r="C22" s="28"/>
      <c r="D22" s="28"/>
      <c r="E22" s="28"/>
      <c r="F22" s="28"/>
      <c r="G22" s="28"/>
      <c r="H22" s="28"/>
      <c r="I22" s="28"/>
      <c r="J22" s="33"/>
      <c r="K22" s="26"/>
      <c r="L22" s="27"/>
      <c r="M22" s="28"/>
      <c r="N22" s="28"/>
      <c r="O22" s="28"/>
      <c r="P22" s="28"/>
      <c r="Q22" s="28"/>
      <c r="R22" s="28"/>
      <c r="S22" s="28"/>
      <c r="T22" s="33"/>
      <c r="U22" s="26"/>
      <c r="V22" s="27"/>
      <c r="W22" s="28"/>
      <c r="X22" s="28"/>
      <c r="Y22" s="28"/>
      <c r="Z22" s="28"/>
      <c r="AA22" s="28"/>
      <c r="AB22" s="28"/>
      <c r="AC22" s="28"/>
      <c r="AD22" s="33"/>
    </row>
    <row r="23" spans="1:30" x14ac:dyDescent="0.3">
      <c r="A23" s="26"/>
      <c r="B23" s="27"/>
      <c r="C23" s="28"/>
      <c r="D23" s="28"/>
      <c r="E23" s="28"/>
      <c r="F23" s="28"/>
      <c r="G23" s="28"/>
      <c r="H23" s="28"/>
      <c r="I23" s="28"/>
      <c r="J23" s="33"/>
      <c r="K23" s="26"/>
      <c r="L23" s="27"/>
      <c r="M23" s="28"/>
      <c r="N23" s="28"/>
      <c r="O23" s="28"/>
      <c r="P23" s="28"/>
      <c r="Q23" s="28"/>
      <c r="R23" s="28"/>
      <c r="S23" s="28"/>
      <c r="T23" s="33"/>
      <c r="U23" s="26"/>
      <c r="V23" s="27"/>
      <c r="W23" s="28"/>
      <c r="X23" s="28"/>
      <c r="Y23" s="28"/>
      <c r="Z23" s="28"/>
      <c r="AA23" s="28"/>
      <c r="AB23" s="28"/>
      <c r="AC23" s="28"/>
      <c r="AD23" s="33"/>
    </row>
    <row r="24" spans="1:30" x14ac:dyDescent="0.3">
      <c r="A24" s="26"/>
      <c r="B24" s="27"/>
      <c r="C24" s="28"/>
      <c r="D24" s="28"/>
      <c r="E24" s="28"/>
      <c r="F24" s="28"/>
      <c r="G24" s="28"/>
      <c r="H24" s="28"/>
      <c r="I24" s="28"/>
      <c r="J24" s="33"/>
      <c r="K24" s="26"/>
      <c r="L24" s="27"/>
      <c r="M24" s="28"/>
      <c r="N24" s="28"/>
      <c r="O24" s="28"/>
      <c r="P24" s="28"/>
      <c r="Q24" s="28"/>
      <c r="R24" s="28"/>
      <c r="S24" s="28"/>
      <c r="T24" s="33"/>
      <c r="U24" s="26"/>
      <c r="V24" s="27"/>
      <c r="W24" s="28"/>
      <c r="X24" s="28"/>
      <c r="Y24" s="28"/>
      <c r="Z24" s="28"/>
      <c r="AA24" s="28"/>
      <c r="AB24" s="28"/>
      <c r="AC24" s="28"/>
      <c r="AD24" s="33"/>
    </row>
    <row r="25" spans="1:30" x14ac:dyDescent="0.3">
      <c r="A25" s="26"/>
      <c r="B25" s="27"/>
      <c r="C25" s="28"/>
      <c r="D25" s="28"/>
      <c r="E25" s="28"/>
      <c r="F25" s="28"/>
      <c r="G25" s="28"/>
      <c r="H25" s="28"/>
      <c r="I25" s="28"/>
      <c r="J25" s="33"/>
      <c r="K25" s="26"/>
      <c r="L25" s="27"/>
      <c r="M25" s="28"/>
      <c r="N25" s="28"/>
      <c r="O25" s="28"/>
      <c r="P25" s="28"/>
      <c r="Q25" s="28"/>
      <c r="R25" s="28"/>
      <c r="S25" s="28"/>
      <c r="T25" s="33"/>
      <c r="U25" s="26"/>
      <c r="V25" s="27"/>
      <c r="W25" s="28"/>
      <c r="X25" s="28"/>
      <c r="Y25" s="28"/>
      <c r="Z25" s="28"/>
      <c r="AA25" s="28"/>
      <c r="AB25" s="28"/>
      <c r="AC25" s="28"/>
      <c r="AD25" s="33"/>
    </row>
    <row r="26" spans="1:30" x14ac:dyDescent="0.3">
      <c r="A26" s="26"/>
      <c r="B26" s="27"/>
      <c r="C26" s="28"/>
      <c r="D26" s="28"/>
      <c r="E26" s="28"/>
      <c r="F26" s="28"/>
      <c r="G26" s="28"/>
      <c r="H26" s="28"/>
      <c r="I26" s="28"/>
      <c r="J26" s="33"/>
      <c r="K26" s="26"/>
      <c r="L26" s="27"/>
      <c r="M26" s="28"/>
      <c r="N26" s="28"/>
      <c r="O26" s="28"/>
      <c r="P26" s="28"/>
      <c r="Q26" s="28"/>
      <c r="R26" s="28"/>
      <c r="S26" s="28"/>
      <c r="T26" s="33"/>
      <c r="U26" s="26"/>
      <c r="V26" s="27"/>
      <c r="W26" s="28"/>
      <c r="X26" s="28"/>
      <c r="Y26" s="28"/>
      <c r="Z26" s="28"/>
      <c r="AA26" s="28"/>
      <c r="AB26" s="28"/>
      <c r="AC26" s="28"/>
      <c r="AD26" s="33"/>
    </row>
    <row r="27" spans="1:30" x14ac:dyDescent="0.3">
      <c r="A27" s="26"/>
      <c r="B27" s="27"/>
      <c r="C27" s="28"/>
      <c r="D27" s="28"/>
      <c r="E27" s="28"/>
      <c r="F27" s="28"/>
      <c r="G27" s="28"/>
      <c r="H27" s="28"/>
      <c r="I27" s="28"/>
      <c r="J27" s="33"/>
      <c r="K27" s="26"/>
      <c r="L27" s="27"/>
      <c r="M27" s="28"/>
      <c r="N27" s="28"/>
      <c r="O27" s="28"/>
      <c r="P27" s="28"/>
      <c r="Q27" s="28"/>
      <c r="R27" s="28"/>
      <c r="S27" s="28"/>
      <c r="T27" s="33"/>
      <c r="U27" s="26"/>
      <c r="V27" s="27"/>
      <c r="W27" s="28"/>
      <c r="X27" s="28"/>
      <c r="Y27" s="28"/>
      <c r="Z27" s="28"/>
      <c r="AA27" s="28"/>
      <c r="AB27" s="28"/>
      <c r="AC27" s="28"/>
      <c r="AD27" s="33"/>
    </row>
    <row r="28" spans="1:30" x14ac:dyDescent="0.3">
      <c r="A28" s="26"/>
      <c r="B28" s="27"/>
      <c r="C28" s="28"/>
      <c r="D28" s="28"/>
      <c r="E28" s="28"/>
      <c r="F28" s="28"/>
      <c r="G28" s="28"/>
      <c r="H28" s="28"/>
      <c r="I28" s="28"/>
      <c r="J28" s="33"/>
      <c r="K28" s="26"/>
      <c r="L28" s="27"/>
      <c r="M28" s="28"/>
      <c r="N28" s="28"/>
      <c r="O28" s="28"/>
      <c r="P28" s="28"/>
      <c r="Q28" s="28"/>
      <c r="R28" s="28"/>
      <c r="S28" s="28"/>
      <c r="T28" s="33"/>
      <c r="U28" s="26"/>
      <c r="V28" s="27"/>
      <c r="W28" s="28"/>
      <c r="X28" s="28"/>
      <c r="Y28" s="28"/>
      <c r="Z28" s="28"/>
      <c r="AA28" s="28"/>
      <c r="AB28" s="28"/>
      <c r="AC28" s="28"/>
      <c r="AD28" s="33"/>
    </row>
    <row r="29" spans="1:30" x14ac:dyDescent="0.3">
      <c r="A29" s="26"/>
      <c r="B29" s="27"/>
      <c r="C29" s="28"/>
      <c r="D29" s="28"/>
      <c r="E29" s="28"/>
      <c r="F29" s="28"/>
      <c r="G29" s="28"/>
      <c r="H29" s="28"/>
      <c r="I29" s="28"/>
      <c r="J29" s="33"/>
      <c r="K29" s="26"/>
      <c r="L29" s="27"/>
      <c r="M29" s="28"/>
      <c r="N29" s="28"/>
      <c r="O29" s="28"/>
      <c r="P29" s="28"/>
      <c r="Q29" s="28"/>
      <c r="R29" s="28"/>
      <c r="S29" s="28"/>
      <c r="T29" s="33"/>
      <c r="U29" s="26"/>
      <c r="V29" s="27"/>
      <c r="W29" s="28"/>
      <c r="X29" s="28"/>
      <c r="Y29" s="28"/>
      <c r="Z29" s="28"/>
      <c r="AA29" s="28"/>
      <c r="AB29" s="28"/>
      <c r="AC29" s="28"/>
      <c r="AD29" s="33"/>
    </row>
    <row r="30" spans="1:30" x14ac:dyDescent="0.3">
      <c r="A30" s="26"/>
      <c r="B30" s="27"/>
      <c r="C30" s="28"/>
      <c r="D30" s="28"/>
      <c r="E30" s="28"/>
      <c r="F30" s="28"/>
      <c r="G30" s="28"/>
      <c r="H30" s="28"/>
      <c r="I30" s="28"/>
      <c r="J30" s="33"/>
      <c r="K30" s="26"/>
      <c r="L30" s="27"/>
      <c r="M30" s="28"/>
      <c r="N30" s="28"/>
      <c r="O30" s="28"/>
      <c r="P30" s="28"/>
      <c r="Q30" s="28"/>
      <c r="R30" s="28"/>
      <c r="S30" s="28"/>
      <c r="T30" s="33"/>
      <c r="U30" s="26"/>
      <c r="V30" s="27"/>
      <c r="W30" s="28"/>
      <c r="X30" s="28"/>
      <c r="Y30" s="28"/>
      <c r="Z30" s="28"/>
      <c r="AA30" s="28"/>
      <c r="AB30" s="28"/>
      <c r="AC30" s="28"/>
      <c r="AD30" s="33"/>
    </row>
    <row r="31" spans="1:30" x14ac:dyDescent="0.3">
      <c r="A31" s="26"/>
      <c r="B31" s="27"/>
      <c r="C31" s="28"/>
      <c r="D31" s="28"/>
      <c r="E31" s="28"/>
      <c r="F31" s="28"/>
      <c r="G31" s="28"/>
      <c r="H31" s="28"/>
      <c r="I31" s="28"/>
      <c r="J31" s="33"/>
      <c r="K31" s="26"/>
      <c r="L31" s="27"/>
      <c r="M31" s="28"/>
      <c r="N31" s="28"/>
      <c r="O31" s="28"/>
      <c r="P31" s="28"/>
      <c r="Q31" s="28"/>
      <c r="R31" s="28"/>
      <c r="S31" s="28"/>
      <c r="T31" s="33"/>
      <c r="U31" s="26"/>
      <c r="V31" s="27"/>
      <c r="W31" s="28"/>
      <c r="X31" s="28"/>
      <c r="Y31" s="28"/>
      <c r="Z31" s="28"/>
      <c r="AA31" s="28"/>
      <c r="AB31" s="28"/>
      <c r="AC31" s="28"/>
      <c r="AD31" s="33"/>
    </row>
    <row r="32" spans="1:30" x14ac:dyDescent="0.3">
      <c r="A32" s="26"/>
      <c r="B32" s="27"/>
      <c r="C32" s="28"/>
      <c r="D32" s="28"/>
      <c r="E32" s="28"/>
      <c r="F32" s="28"/>
      <c r="G32" s="28"/>
      <c r="H32" s="28"/>
      <c r="I32" s="28"/>
      <c r="J32" s="33"/>
      <c r="K32" s="26"/>
      <c r="L32" s="27"/>
      <c r="M32" s="28"/>
      <c r="N32" s="28"/>
      <c r="O32" s="28"/>
      <c r="P32" s="28"/>
      <c r="Q32" s="28"/>
      <c r="R32" s="28"/>
      <c r="S32" s="28"/>
      <c r="T32" s="33"/>
      <c r="U32" s="26"/>
      <c r="V32" s="27"/>
      <c r="W32" s="28"/>
      <c r="X32" s="28"/>
      <c r="Y32" s="28"/>
      <c r="Z32" s="28"/>
      <c r="AA32" s="28"/>
      <c r="AB32" s="28"/>
      <c r="AC32" s="28"/>
      <c r="AD32" s="33"/>
    </row>
    <row r="33" spans="1:30" x14ac:dyDescent="0.3">
      <c r="A33" s="26"/>
      <c r="B33" s="27"/>
      <c r="C33" s="28"/>
      <c r="D33" s="28"/>
      <c r="E33" s="28"/>
      <c r="F33" s="28"/>
      <c r="G33" s="28"/>
      <c r="H33" s="28"/>
      <c r="I33" s="28"/>
      <c r="J33" s="33"/>
      <c r="K33" s="26"/>
      <c r="L33" s="27"/>
      <c r="M33" s="28"/>
      <c r="N33" s="28"/>
      <c r="O33" s="28"/>
      <c r="P33" s="28"/>
      <c r="Q33" s="28"/>
      <c r="R33" s="28"/>
      <c r="S33" s="28"/>
      <c r="T33" s="33"/>
      <c r="U33" s="26"/>
      <c r="V33" s="27"/>
      <c r="W33" s="28"/>
      <c r="X33" s="28"/>
      <c r="Y33" s="28"/>
      <c r="Z33" s="28"/>
      <c r="AA33" s="28"/>
      <c r="AB33" s="28"/>
      <c r="AC33" s="28"/>
      <c r="AD33" s="33"/>
    </row>
    <row r="34" spans="1:30" x14ac:dyDescent="0.3">
      <c r="A34" s="26"/>
      <c r="B34" s="27"/>
      <c r="C34" s="28"/>
      <c r="D34" s="28"/>
      <c r="E34" s="28"/>
      <c r="F34" s="28"/>
      <c r="G34" s="28"/>
      <c r="H34" s="28"/>
      <c r="I34" s="28"/>
      <c r="J34" s="33"/>
      <c r="K34" s="26"/>
      <c r="L34" s="27"/>
      <c r="M34" s="28"/>
      <c r="N34" s="28"/>
      <c r="O34" s="28"/>
      <c r="P34" s="28"/>
      <c r="Q34" s="28"/>
      <c r="R34" s="28"/>
      <c r="S34" s="28"/>
      <c r="T34" s="33"/>
      <c r="U34" s="26"/>
      <c r="V34" s="27"/>
      <c r="W34" s="28"/>
      <c r="X34" s="28"/>
      <c r="Y34" s="28"/>
      <c r="Z34" s="28"/>
      <c r="AA34" s="28"/>
      <c r="AB34" s="28"/>
      <c r="AC34" s="28"/>
      <c r="AD34" s="33"/>
    </row>
    <row r="35" spans="1:30" x14ac:dyDescent="0.3">
      <c r="A35" s="26"/>
      <c r="B35" s="27"/>
      <c r="C35" s="28"/>
      <c r="D35" s="28"/>
      <c r="E35" s="28"/>
      <c r="F35" s="28"/>
      <c r="G35" s="28"/>
      <c r="H35" s="28"/>
      <c r="I35" s="28"/>
      <c r="J35" s="33"/>
      <c r="K35" s="26"/>
      <c r="L35" s="27"/>
      <c r="M35" s="28"/>
      <c r="N35" s="28"/>
      <c r="O35" s="28"/>
      <c r="P35" s="28"/>
      <c r="Q35" s="28"/>
      <c r="R35" s="28"/>
      <c r="S35" s="28"/>
      <c r="T35" s="33"/>
      <c r="U35" s="26"/>
      <c r="V35" s="27"/>
      <c r="W35" s="28"/>
      <c r="X35" s="28"/>
      <c r="Y35" s="28"/>
      <c r="Z35" s="28"/>
      <c r="AA35" s="28"/>
      <c r="AB35" s="28"/>
      <c r="AC35" s="28"/>
      <c r="AD35" s="33"/>
    </row>
    <row r="36" spans="1:30" x14ac:dyDescent="0.3">
      <c r="A36" s="26"/>
      <c r="B36" s="27"/>
      <c r="C36" s="28"/>
      <c r="D36" s="28"/>
      <c r="E36" s="28"/>
      <c r="F36" s="28"/>
      <c r="G36" s="28"/>
      <c r="H36" s="28"/>
      <c r="I36" s="28"/>
      <c r="J36" s="33"/>
      <c r="K36" s="26"/>
      <c r="L36" s="27"/>
      <c r="M36" s="28"/>
      <c r="N36" s="28"/>
      <c r="O36" s="28"/>
      <c r="P36" s="28"/>
      <c r="Q36" s="28"/>
      <c r="R36" s="28"/>
      <c r="S36" s="28"/>
      <c r="T36" s="33"/>
      <c r="U36" s="26"/>
      <c r="V36" s="27"/>
      <c r="W36" s="28"/>
      <c r="X36" s="28"/>
      <c r="Y36" s="28"/>
      <c r="Z36" s="28"/>
      <c r="AA36" s="28"/>
      <c r="AB36" s="28"/>
      <c r="AC36" s="28"/>
      <c r="AD36" s="33"/>
    </row>
    <row r="37" spans="1:30" x14ac:dyDescent="0.3">
      <c r="A37" s="26"/>
      <c r="B37" s="27"/>
      <c r="C37" s="28"/>
      <c r="D37" s="28"/>
      <c r="E37" s="28"/>
      <c r="F37" s="28"/>
      <c r="G37" s="28"/>
      <c r="H37" s="28"/>
      <c r="I37" s="28"/>
      <c r="J37" s="33"/>
      <c r="K37" s="26"/>
      <c r="L37" s="27"/>
      <c r="M37" s="28"/>
      <c r="N37" s="28"/>
      <c r="O37" s="28"/>
      <c r="P37" s="28"/>
      <c r="Q37" s="28"/>
      <c r="R37" s="28"/>
      <c r="S37" s="28"/>
      <c r="T37" s="33"/>
      <c r="U37" s="26"/>
      <c r="V37" s="27"/>
      <c r="W37" s="28"/>
      <c r="X37" s="28"/>
      <c r="Y37" s="28"/>
      <c r="Z37" s="28"/>
      <c r="AA37" s="28"/>
      <c r="AB37" s="28"/>
      <c r="AC37" s="28"/>
      <c r="AD37" s="33"/>
    </row>
    <row r="38" spans="1:30" x14ac:dyDescent="0.3">
      <c r="A38" s="26"/>
      <c r="B38" s="27"/>
      <c r="C38" s="28"/>
      <c r="D38" s="28"/>
      <c r="E38" s="28"/>
      <c r="F38" s="28"/>
      <c r="G38" s="28"/>
      <c r="H38" s="28"/>
      <c r="I38" s="28"/>
      <c r="J38" s="33"/>
      <c r="K38" s="26"/>
      <c r="L38" s="27"/>
      <c r="M38" s="28"/>
      <c r="N38" s="28"/>
      <c r="O38" s="28"/>
      <c r="P38" s="28"/>
      <c r="Q38" s="28"/>
      <c r="R38" s="28"/>
      <c r="S38" s="28"/>
      <c r="T38" s="33"/>
      <c r="U38" s="26"/>
      <c r="V38" s="27"/>
      <c r="W38" s="28"/>
      <c r="X38" s="28"/>
      <c r="Y38" s="28"/>
      <c r="Z38" s="28"/>
      <c r="AA38" s="28"/>
      <c r="AB38" s="28"/>
      <c r="AC38" s="28"/>
      <c r="AD38" s="33"/>
    </row>
    <row r="39" spans="1:30" x14ac:dyDescent="0.3">
      <c r="A39" s="26"/>
      <c r="B39" s="27"/>
      <c r="C39" s="28"/>
      <c r="D39" s="28"/>
      <c r="E39" s="28"/>
      <c r="F39" s="28"/>
      <c r="G39" s="28"/>
      <c r="H39" s="28"/>
      <c r="I39" s="28"/>
      <c r="J39" s="33"/>
      <c r="K39" s="26"/>
      <c r="L39" s="27"/>
      <c r="M39" s="28"/>
      <c r="N39" s="28"/>
      <c r="O39" s="28"/>
      <c r="P39" s="28"/>
      <c r="Q39" s="28"/>
      <c r="R39" s="28"/>
      <c r="S39" s="28"/>
      <c r="T39" s="33"/>
      <c r="U39" s="26"/>
      <c r="V39" s="27"/>
      <c r="W39" s="28"/>
      <c r="X39" s="28"/>
      <c r="Y39" s="28"/>
      <c r="Z39" s="28"/>
      <c r="AA39" s="28"/>
      <c r="AB39" s="28"/>
      <c r="AC39" s="28"/>
      <c r="AD39" s="33"/>
    </row>
    <row r="40" spans="1:30" x14ac:dyDescent="0.3">
      <c r="A40" s="26"/>
      <c r="B40" s="27"/>
      <c r="C40" s="28"/>
      <c r="D40" s="28"/>
      <c r="E40" s="28"/>
      <c r="F40" s="28"/>
      <c r="G40" s="28"/>
      <c r="H40" s="28"/>
      <c r="I40" s="28"/>
      <c r="J40" s="33"/>
      <c r="K40" s="26"/>
      <c r="L40" s="27"/>
      <c r="M40" s="28"/>
      <c r="N40" s="28"/>
      <c r="O40" s="28"/>
      <c r="P40" s="28"/>
      <c r="Q40" s="28"/>
      <c r="R40" s="28"/>
      <c r="S40" s="28"/>
      <c r="T40" s="33"/>
      <c r="U40" s="26"/>
      <c r="V40" s="27"/>
      <c r="W40" s="28"/>
      <c r="X40" s="28"/>
      <c r="Y40" s="28"/>
      <c r="Z40" s="28"/>
      <c r="AA40" s="28"/>
      <c r="AB40" s="28"/>
      <c r="AC40" s="28"/>
      <c r="AD40" s="33"/>
    </row>
    <row r="41" spans="1:30" x14ac:dyDescent="0.3">
      <c r="A41" s="26"/>
      <c r="B41" s="27"/>
      <c r="C41" s="28"/>
      <c r="D41" s="28"/>
      <c r="E41" s="28"/>
      <c r="F41" s="28"/>
      <c r="G41" s="28"/>
      <c r="H41" s="28"/>
      <c r="I41" s="28"/>
      <c r="J41" s="33"/>
      <c r="K41" s="26"/>
      <c r="L41" s="27"/>
      <c r="M41" s="28"/>
      <c r="N41" s="28"/>
      <c r="O41" s="28"/>
      <c r="P41" s="28"/>
      <c r="Q41" s="28"/>
      <c r="R41" s="28"/>
      <c r="S41" s="28"/>
      <c r="T41" s="33"/>
      <c r="U41" s="26"/>
      <c r="V41" s="27"/>
      <c r="W41" s="28"/>
      <c r="X41" s="28"/>
      <c r="Y41" s="28"/>
      <c r="Z41" s="28"/>
      <c r="AA41" s="28"/>
      <c r="AB41" s="28"/>
      <c r="AC41" s="28"/>
      <c r="AD41" s="33"/>
    </row>
    <row r="42" spans="1:30" x14ac:dyDescent="0.3">
      <c r="A42" s="26"/>
      <c r="B42" s="27"/>
      <c r="C42" s="28"/>
      <c r="D42" s="28"/>
      <c r="E42" s="28"/>
      <c r="F42" s="28"/>
      <c r="G42" s="28"/>
      <c r="H42" s="28"/>
      <c r="I42" s="28"/>
      <c r="J42" s="33"/>
      <c r="K42" s="26"/>
      <c r="L42" s="27"/>
      <c r="M42" s="28"/>
      <c r="N42" s="28"/>
      <c r="O42" s="28"/>
      <c r="P42" s="28"/>
      <c r="Q42" s="28"/>
      <c r="R42" s="28"/>
      <c r="S42" s="28"/>
      <c r="T42" s="33"/>
      <c r="U42" s="26"/>
      <c r="V42" s="27"/>
      <c r="W42" s="28"/>
      <c r="X42" s="28"/>
      <c r="Y42" s="28"/>
      <c r="Z42" s="28"/>
      <c r="AA42" s="28"/>
      <c r="AB42" s="28"/>
      <c r="AC42" s="28"/>
      <c r="AD42" s="33"/>
    </row>
    <row r="43" spans="1:30" x14ac:dyDescent="0.3">
      <c r="A43" s="26"/>
      <c r="B43" s="27"/>
      <c r="C43" s="28"/>
      <c r="D43" s="28"/>
      <c r="E43" s="28"/>
      <c r="F43" s="28"/>
      <c r="G43" s="28"/>
      <c r="H43" s="28"/>
      <c r="I43" s="28"/>
      <c r="J43" s="33"/>
      <c r="K43" s="26"/>
      <c r="L43" s="27"/>
      <c r="M43" s="28"/>
      <c r="N43" s="28"/>
      <c r="O43" s="28"/>
      <c r="P43" s="28"/>
      <c r="Q43" s="28"/>
      <c r="R43" s="28"/>
      <c r="S43" s="28"/>
      <c r="T43" s="33"/>
      <c r="U43" s="26"/>
      <c r="V43" s="27"/>
      <c r="W43" s="28"/>
      <c r="X43" s="28"/>
      <c r="Y43" s="28"/>
      <c r="Z43" s="28"/>
      <c r="AA43" s="28"/>
      <c r="AB43" s="28"/>
      <c r="AC43" s="28"/>
      <c r="AD43" s="33"/>
    </row>
    <row r="44" spans="1:30" x14ac:dyDescent="0.3">
      <c r="A44" s="21"/>
      <c r="B44" s="21"/>
      <c r="C44" s="21"/>
      <c r="D44" s="21"/>
      <c r="E44" s="21"/>
      <c r="F44" s="21"/>
      <c r="G44" s="21"/>
      <c r="H44" s="21"/>
      <c r="I44" s="21"/>
      <c r="J44" s="23"/>
      <c r="K44" s="21"/>
      <c r="L44" s="21"/>
      <c r="M44" s="21"/>
      <c r="N44" s="21"/>
      <c r="O44" s="21"/>
      <c r="P44" s="21"/>
      <c r="Q44" s="21"/>
      <c r="R44" s="21"/>
      <c r="S44" s="21"/>
      <c r="T44" s="23"/>
      <c r="U44" s="21"/>
      <c r="V44" s="21"/>
      <c r="W44" s="21"/>
      <c r="X44" s="21"/>
      <c r="Y44" s="21"/>
      <c r="Z44" s="21"/>
      <c r="AA44" s="21"/>
      <c r="AB44" s="21"/>
      <c r="AC44" s="21"/>
      <c r="AD44" s="23"/>
    </row>
    <row r="45" spans="1:30" x14ac:dyDescent="0.3">
      <c r="A45" s="21"/>
      <c r="B45" s="21"/>
      <c r="C45" s="21"/>
      <c r="D45" s="21"/>
      <c r="E45" s="21"/>
      <c r="F45" s="21"/>
      <c r="G45" s="21"/>
      <c r="H45" s="21"/>
      <c r="I45" s="21"/>
      <c r="J45" s="23"/>
      <c r="K45" s="21"/>
      <c r="L45" s="21"/>
      <c r="M45" s="21"/>
      <c r="N45" s="21"/>
      <c r="O45" s="21"/>
      <c r="P45" s="21"/>
      <c r="Q45" s="21"/>
      <c r="R45" s="21"/>
      <c r="S45" s="21"/>
      <c r="T45" s="23"/>
      <c r="U45" s="21"/>
      <c r="V45" s="21"/>
      <c r="W45" s="21"/>
      <c r="X45" s="21"/>
      <c r="Y45" s="21"/>
      <c r="Z45" s="21"/>
      <c r="AA45" s="21"/>
      <c r="AB45" s="21"/>
      <c r="AC45" s="21"/>
      <c r="AD45" s="23"/>
    </row>
    <row r="46" spans="1:30" x14ac:dyDescent="0.3">
      <c r="A46" s="21"/>
      <c r="B46" s="21"/>
      <c r="C46" s="21"/>
      <c r="D46" s="21"/>
      <c r="E46" s="21"/>
      <c r="F46" s="21"/>
      <c r="H46" s="183" t="s">
        <v>72</v>
      </c>
      <c r="I46" s="184"/>
      <c r="J46" s="31"/>
      <c r="K46" s="21"/>
      <c r="L46" s="21"/>
      <c r="M46" s="21"/>
      <c r="N46" s="21"/>
      <c r="O46" s="21"/>
      <c r="P46" s="21"/>
      <c r="Q46" s="21"/>
      <c r="R46" s="21"/>
      <c r="S46" s="21"/>
      <c r="T46" s="9"/>
      <c r="U46" s="21"/>
      <c r="V46" s="21"/>
      <c r="W46" s="21"/>
      <c r="X46" s="21"/>
      <c r="Y46" s="21"/>
      <c r="Z46" s="21"/>
      <c r="AA46" s="183" t="s">
        <v>50</v>
      </c>
      <c r="AB46" s="184"/>
      <c r="AC46" s="31"/>
      <c r="AD46" s="9"/>
    </row>
    <row r="47" spans="1:30" x14ac:dyDescent="0.3">
      <c r="A47" s="21"/>
      <c r="B47" s="21"/>
      <c r="C47" s="21"/>
      <c r="D47" s="21"/>
      <c r="E47" s="21"/>
      <c r="F47" s="21"/>
      <c r="H47" s="183" t="s">
        <v>73</v>
      </c>
      <c r="I47" s="184"/>
      <c r="J47" s="31"/>
      <c r="K47" s="21"/>
      <c r="L47" s="21"/>
      <c r="M47" s="21"/>
      <c r="N47" s="21"/>
      <c r="O47" s="21"/>
      <c r="P47" s="21"/>
      <c r="Q47" s="21"/>
      <c r="R47" s="21"/>
      <c r="S47" s="21"/>
      <c r="T47" s="9"/>
      <c r="U47" s="21"/>
      <c r="V47" s="21"/>
      <c r="W47" s="21"/>
      <c r="X47" s="21"/>
      <c r="Y47" s="21"/>
      <c r="Z47" s="21"/>
      <c r="AA47" s="183" t="s">
        <v>63</v>
      </c>
      <c r="AB47" s="184"/>
      <c r="AC47" s="31"/>
      <c r="AD47" s="9"/>
    </row>
    <row r="48" spans="1:30" x14ac:dyDescent="0.3">
      <c r="A48" s="32"/>
      <c r="B48" s="32"/>
      <c r="C48" s="32"/>
      <c r="D48" s="32"/>
      <c r="E48" s="32"/>
      <c r="F48" s="32"/>
      <c r="H48" s="183" t="s">
        <v>74</v>
      </c>
      <c r="I48" s="184"/>
      <c r="J48" s="31"/>
      <c r="K48" s="32"/>
      <c r="L48" s="32"/>
      <c r="M48" s="32"/>
      <c r="N48" s="32"/>
      <c r="O48" s="32"/>
      <c r="P48" s="32"/>
      <c r="Q48" s="21"/>
      <c r="R48" s="21"/>
      <c r="S48" s="21"/>
      <c r="T48" s="9"/>
      <c r="U48" s="32"/>
      <c r="V48" s="32"/>
      <c r="W48" s="32"/>
      <c r="X48" s="32"/>
      <c r="Y48" s="32"/>
      <c r="Z48" s="32"/>
      <c r="AA48" s="183" t="s">
        <v>64</v>
      </c>
      <c r="AB48" s="184"/>
      <c r="AC48" s="31"/>
      <c r="AD48" s="9"/>
    </row>
    <row r="49" spans="1:30" x14ac:dyDescent="0.3">
      <c r="A49" s="21"/>
      <c r="B49" s="21"/>
      <c r="C49" s="21"/>
      <c r="D49" s="21"/>
      <c r="E49" s="21"/>
      <c r="F49" s="21"/>
      <c r="H49" s="183" t="s">
        <v>75</v>
      </c>
      <c r="I49" s="184"/>
      <c r="J49" s="31"/>
      <c r="K49" s="21"/>
      <c r="L49" s="21"/>
      <c r="M49" s="21"/>
      <c r="N49" s="21"/>
      <c r="O49" s="21"/>
      <c r="P49" s="21"/>
      <c r="Q49" s="21"/>
      <c r="R49" s="21"/>
      <c r="S49" s="21"/>
      <c r="T49" s="9"/>
      <c r="U49" s="21"/>
      <c r="V49" s="21"/>
      <c r="W49" s="21"/>
      <c r="X49" s="21"/>
      <c r="Y49" s="21"/>
      <c r="Z49" s="21"/>
      <c r="AA49" s="183" t="s">
        <v>37</v>
      </c>
      <c r="AB49" s="184"/>
      <c r="AC49" s="31"/>
      <c r="AD49" s="9"/>
    </row>
    <row r="50" spans="1:30" x14ac:dyDescent="0.3">
      <c r="A50" s="21"/>
      <c r="B50" s="21"/>
      <c r="C50" s="21"/>
      <c r="D50" s="21"/>
      <c r="E50" s="21"/>
      <c r="F50" s="21"/>
      <c r="H50" s="183" t="s">
        <v>76</v>
      </c>
      <c r="I50" s="184"/>
      <c r="J50" s="31"/>
      <c r="K50" s="21"/>
      <c r="L50" s="21"/>
      <c r="M50" s="21"/>
      <c r="N50" s="21"/>
      <c r="O50" s="21"/>
      <c r="P50" s="21"/>
      <c r="Q50" s="21"/>
      <c r="R50" s="21"/>
      <c r="S50" s="21"/>
      <c r="T50" s="9"/>
      <c r="U50" s="21"/>
      <c r="V50" s="21"/>
      <c r="W50" s="21"/>
      <c r="X50" s="21"/>
      <c r="Y50" s="21"/>
      <c r="Z50" s="21"/>
      <c r="AA50" s="183" t="s">
        <v>59</v>
      </c>
      <c r="AB50" s="184"/>
      <c r="AC50" s="31"/>
      <c r="AD50" s="9"/>
    </row>
    <row r="51" spans="1:30" ht="20.25" customHeight="1" x14ac:dyDescent="0.3">
      <c r="A51" s="21"/>
      <c r="B51" s="21"/>
      <c r="C51" s="21"/>
      <c r="D51" s="21"/>
      <c r="E51" s="21"/>
      <c r="F51" s="21"/>
      <c r="H51" s="183" t="s">
        <v>77</v>
      </c>
      <c r="I51" s="184"/>
      <c r="J51" s="34"/>
      <c r="K51" s="21"/>
      <c r="L51" s="21"/>
      <c r="M51" s="21"/>
      <c r="N51" s="21"/>
      <c r="O51" s="21"/>
      <c r="P51" s="21"/>
      <c r="Q51" s="21"/>
      <c r="R51" s="21"/>
      <c r="S51" s="21"/>
      <c r="T51" s="9"/>
      <c r="U51" s="21"/>
      <c r="V51" s="21"/>
      <c r="W51" s="21"/>
      <c r="X51" s="21"/>
      <c r="Y51" s="21"/>
      <c r="Z51" s="21"/>
      <c r="AA51" s="183" t="s">
        <v>49</v>
      </c>
      <c r="AB51" s="184"/>
      <c r="AC51" s="31"/>
      <c r="AD51" s="9"/>
    </row>
    <row r="52" spans="1:30" x14ac:dyDescent="0.3">
      <c r="A52" s="21"/>
      <c r="B52" s="21"/>
      <c r="C52" s="21"/>
      <c r="D52" s="21"/>
      <c r="E52" s="21"/>
      <c r="F52" s="21"/>
      <c r="G52" s="21"/>
      <c r="J52" s="9"/>
      <c r="K52" s="21"/>
      <c r="L52" s="21"/>
      <c r="M52" s="21"/>
      <c r="N52" s="21"/>
      <c r="O52" s="21"/>
      <c r="P52" s="21"/>
      <c r="Q52" s="21"/>
      <c r="R52" s="21"/>
      <c r="S52" s="21"/>
      <c r="T52" s="9"/>
      <c r="U52" s="21"/>
      <c r="V52" s="21"/>
      <c r="W52" s="21"/>
      <c r="X52" s="21"/>
      <c r="Y52" s="21"/>
      <c r="Z52" s="21"/>
      <c r="AA52" s="21"/>
      <c r="AD52" s="9"/>
    </row>
    <row r="53" spans="1:30" x14ac:dyDescent="0.3">
      <c r="A53" s="21"/>
      <c r="B53" s="21"/>
      <c r="C53" s="21"/>
      <c r="D53" s="21"/>
      <c r="E53" s="21"/>
      <c r="F53" s="21"/>
      <c r="G53" s="21"/>
      <c r="K53" s="21"/>
      <c r="L53" s="21"/>
      <c r="M53" s="21"/>
      <c r="N53" s="21"/>
      <c r="O53" s="21"/>
      <c r="P53" s="21"/>
      <c r="Q53" s="21"/>
      <c r="U53" s="21"/>
      <c r="V53" s="21"/>
      <c r="W53" s="21"/>
      <c r="X53" s="21"/>
      <c r="Y53" s="21"/>
      <c r="Z53" s="21"/>
      <c r="AA53" s="21"/>
    </row>
    <row r="54" spans="1:30" x14ac:dyDescent="0.3">
      <c r="A54" s="21"/>
      <c r="B54" s="21"/>
      <c r="C54" s="21"/>
      <c r="D54" s="21"/>
      <c r="E54" s="21"/>
      <c r="F54" s="21"/>
      <c r="G54" s="21"/>
      <c r="K54" s="21"/>
      <c r="L54" s="21"/>
      <c r="M54" s="21"/>
      <c r="N54" s="21"/>
      <c r="O54" s="21"/>
      <c r="P54" s="21"/>
      <c r="Q54" s="21"/>
      <c r="U54" s="21"/>
      <c r="V54" s="21"/>
      <c r="W54" s="21"/>
      <c r="X54" s="21"/>
      <c r="Y54" s="21"/>
      <c r="Z54" s="21"/>
      <c r="AA54" s="21"/>
    </row>
    <row r="55" spans="1:30" x14ac:dyDescent="0.3">
      <c r="A55" s="21"/>
      <c r="B55" s="21"/>
      <c r="C55" s="21"/>
      <c r="D55" s="21"/>
      <c r="E55" s="21"/>
      <c r="F55" s="21"/>
      <c r="G55" s="21"/>
      <c r="K55" s="21"/>
      <c r="L55" s="21"/>
      <c r="M55" s="21"/>
      <c r="N55" s="21"/>
      <c r="O55" s="21"/>
      <c r="P55" s="21"/>
      <c r="Q55" s="21"/>
      <c r="U55" s="21"/>
      <c r="V55" s="21"/>
      <c r="W55" s="21"/>
      <c r="X55" s="21"/>
      <c r="Y55" s="21"/>
      <c r="Z55" s="21"/>
      <c r="AA55" s="21"/>
    </row>
    <row r="56" spans="1:30" x14ac:dyDescent="0.3">
      <c r="A56" s="21"/>
      <c r="B56" s="21"/>
      <c r="C56" s="21"/>
      <c r="D56" s="21"/>
      <c r="E56" s="21"/>
      <c r="F56" s="21"/>
      <c r="G56" s="21"/>
      <c r="H56" s="21"/>
      <c r="I56" s="21"/>
      <c r="J56" s="24"/>
      <c r="K56" s="21"/>
      <c r="L56" s="21"/>
      <c r="M56" s="21"/>
      <c r="N56" s="21"/>
      <c r="O56" s="21"/>
      <c r="P56" s="21"/>
      <c r="Q56" s="21"/>
      <c r="R56" s="21"/>
      <c r="S56" s="21"/>
      <c r="T56" s="24"/>
      <c r="U56" s="21"/>
      <c r="V56" s="21"/>
      <c r="W56" s="21"/>
      <c r="X56" s="21"/>
      <c r="Y56" s="21"/>
      <c r="Z56" s="21"/>
      <c r="AA56" s="21"/>
      <c r="AB56" s="21"/>
      <c r="AC56" s="21"/>
      <c r="AD56" s="24"/>
    </row>
    <row r="57" spans="1:30" x14ac:dyDescent="0.3">
      <c r="A57" s="21"/>
      <c r="B57" s="21"/>
      <c r="C57" s="21"/>
      <c r="D57" s="21"/>
      <c r="E57" s="21"/>
      <c r="F57" s="21"/>
      <c r="G57" s="21"/>
      <c r="H57" s="21"/>
      <c r="I57" s="21"/>
      <c r="J57" s="24"/>
      <c r="K57" s="21"/>
      <c r="L57" s="21"/>
      <c r="M57" s="21"/>
      <c r="N57" s="21"/>
      <c r="O57" s="21"/>
      <c r="P57" s="21"/>
      <c r="Q57" s="21"/>
      <c r="R57" s="21"/>
      <c r="S57" s="21"/>
      <c r="T57" s="24"/>
      <c r="U57" s="21"/>
      <c r="V57" s="21"/>
      <c r="W57" s="21"/>
      <c r="X57" s="21"/>
      <c r="Y57" s="21"/>
      <c r="Z57" s="21"/>
      <c r="AA57" s="21"/>
      <c r="AB57" s="21"/>
      <c r="AC57" s="21"/>
      <c r="AD57" s="24"/>
    </row>
    <row r="58" spans="1:30" x14ac:dyDescent="0.3">
      <c r="A58" s="21"/>
      <c r="B58" s="21"/>
      <c r="C58" s="21"/>
      <c r="D58" s="21"/>
      <c r="E58" s="21"/>
      <c r="F58" s="21"/>
      <c r="G58" s="21"/>
      <c r="H58" s="21"/>
      <c r="I58" s="21"/>
      <c r="J58" s="24"/>
      <c r="K58" s="21"/>
      <c r="L58" s="21"/>
      <c r="M58" s="21"/>
      <c r="N58" s="21"/>
      <c r="O58" s="21"/>
      <c r="P58" s="21"/>
      <c r="Q58" s="21"/>
      <c r="R58" s="21"/>
      <c r="S58" s="21"/>
      <c r="T58" s="24"/>
      <c r="U58" s="21"/>
      <c r="V58" s="21"/>
      <c r="W58" s="21"/>
      <c r="X58" s="21"/>
      <c r="Y58" s="21"/>
      <c r="Z58" s="21"/>
      <c r="AA58" s="21"/>
      <c r="AB58" s="21"/>
      <c r="AC58" s="21"/>
      <c r="AD58" s="24"/>
    </row>
    <row r="59" spans="1:30" x14ac:dyDescent="0.3">
      <c r="A59" s="21"/>
      <c r="B59" s="21"/>
      <c r="C59" s="21"/>
      <c r="D59" s="21"/>
      <c r="E59" s="21"/>
      <c r="F59" s="21"/>
      <c r="G59" s="21"/>
      <c r="H59" s="21"/>
      <c r="I59" s="21"/>
      <c r="J59" s="24"/>
      <c r="K59" s="21"/>
      <c r="L59" s="21"/>
      <c r="M59" s="21"/>
      <c r="N59" s="21"/>
      <c r="O59" s="21"/>
      <c r="P59" s="21"/>
      <c r="Q59" s="21"/>
      <c r="R59" s="21"/>
      <c r="S59" s="21"/>
      <c r="T59" s="24"/>
      <c r="U59" s="21"/>
      <c r="V59" s="21"/>
      <c r="W59" s="21"/>
      <c r="X59" s="21"/>
      <c r="Y59" s="21"/>
      <c r="Z59" s="21"/>
      <c r="AA59" s="21"/>
      <c r="AB59" s="21"/>
      <c r="AC59" s="21"/>
      <c r="AD59" s="24"/>
    </row>
  </sheetData>
  <mergeCells count="12">
    <mergeCell ref="H46:I46"/>
    <mergeCell ref="AA46:AB46"/>
    <mergeCell ref="H47:I47"/>
    <mergeCell ref="AA47:AB47"/>
    <mergeCell ref="H48:I48"/>
    <mergeCell ref="AA48:AB48"/>
    <mergeCell ref="H49:I49"/>
    <mergeCell ref="AA49:AB49"/>
    <mergeCell ref="H50:I50"/>
    <mergeCell ref="AA50:AB50"/>
    <mergeCell ref="H51:I51"/>
    <mergeCell ref="AA51:AB51"/>
  </mergeCells>
  <printOptions horizontalCentered="1" verticalCentered="1"/>
  <pageMargins left="1.0416666666666666E-2" right="1.0416666666666666E-2" top="1.0416666666666666E-2" bottom="1.0416666666666666E-2" header="0" footer="0"/>
  <pageSetup paperSize="9" fitToWidth="0" fitToHeight="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B22007ED-9143-49F8-B201-BB578232A98C}">
  <ds:schemaRefs/>
</ds:datastoreItem>
</file>

<file path=customXml/itemProps2.xml><?xml version="1.0" encoding="utf-8"?>
<ds:datastoreItem xmlns:ds="http://schemas.openxmlformats.org/officeDocument/2006/customXml" ds:itemID="{93A34B99-6764-412D-9DE5-68A4F2918F22}">
  <ds:schemaRefs/>
</ds:datastoreItem>
</file>

<file path=customXml/itemProps3.xml><?xml version="1.0" encoding="utf-8"?>
<ds:datastoreItem xmlns:ds="http://schemas.openxmlformats.org/officeDocument/2006/customXml" ds:itemID="{0C462658-8843-4707-A10F-665ACD243471}">
  <ds:schemaRefs/>
</ds:datastoreItem>
</file>

<file path=customXml/itemProps4.xml><?xml version="1.0" encoding="utf-8"?>
<ds:datastoreItem xmlns:ds="http://schemas.openxmlformats.org/officeDocument/2006/customXml" ds:itemID="{3BFF4BE9-305C-46B0-97FB-88F2473D2C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Invoice</vt:lpstr>
      <vt:lpstr>Update</vt:lpstr>
      <vt:lpstr>PreviousInvoices</vt:lpstr>
      <vt:lpstr>Items</vt:lpstr>
      <vt:lpstr>Tax Rates</vt:lpstr>
      <vt:lpstr>Customers</vt:lpstr>
      <vt:lpstr>P</vt:lpstr>
      <vt:lpstr>Reports</vt:lpstr>
      <vt:lpstr>LOCKED</vt:lpstr>
      <vt:lpstr>LOCKED!Customer</vt:lpstr>
      <vt:lpstr>Update!Customer</vt:lpstr>
      <vt:lpstr>Customer</vt:lpstr>
      <vt:lpstr>LOCKED!ItemList</vt:lpstr>
      <vt:lpstr>Update!ItemList</vt:lpstr>
      <vt:lpstr>ItemList</vt:lpstr>
      <vt:lpstr>LOCKED!Print_Area</vt:lpstr>
      <vt:lpstr>P!Print_Area</vt:lpstr>
      <vt:lpstr>LOCKED!TaxRates</vt:lpstr>
      <vt:lpstr>Update!TaxRates</vt:lpstr>
      <vt:lpstr>TaxRates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</dc:creator>
  <cp:lastModifiedBy>Ashish Bagaddeo</cp:lastModifiedBy>
  <cp:lastPrinted>2018-10-13T02:17:37Z</cp:lastPrinted>
  <dcterms:created xsi:type="dcterms:W3CDTF">2018-03-20T15:41:36Z</dcterms:created>
  <dcterms:modified xsi:type="dcterms:W3CDTF">2018-10-13T02:24:06Z</dcterms:modified>
</cp:coreProperties>
</file>